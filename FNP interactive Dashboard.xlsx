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okony\Documents\EXCEL\WsCube Tech\EXCEL Full PROJECT for Data Analysis with AI  End-to-End Excel Dashboard Project\"/>
    </mc:Choice>
  </mc:AlternateContent>
  <xr:revisionPtr revIDLastSave="0" documentId="8_{B3C1402D-3BD5-42EB-877E-26A932E4DEBA}" xr6:coauthVersionLast="47" xr6:coauthVersionMax="47" xr10:uidLastSave="{00000000-0000-0000-0000-000000000000}"/>
  <bookViews>
    <workbookView xWindow="20370" yWindow="-120" windowWidth="29040" windowHeight="15720" activeTab="1" xr2:uid="{AD32C431-D8FA-40EE-98E4-51152A7ADFB3}"/>
  </bookViews>
  <sheets>
    <sheet name="Pivot tables" sheetId="6" r:id="rId1"/>
    <sheet name="Dashboard" sheetId="7" r:id="rId2"/>
  </sheets>
  <definedNames>
    <definedName name="Slicer_Occasion">#N/A</definedName>
    <definedName name="Timeline_Delivery_Date">#N/A</definedName>
    <definedName name="Timeline_Order_Date">#N/A</definedName>
  </definedNames>
  <calcPr calcId="191029"/>
  <pivotCaches>
    <pivotCache cacheId="4692" r:id="rId3"/>
    <pivotCache cacheId="4695" r:id="rId4"/>
    <pivotCache cacheId="4698" r:id="rId5"/>
    <pivotCache cacheId="4701" r:id="rId6"/>
    <pivotCache cacheId="4704" r:id="rId7"/>
    <pivotCache cacheId="4707" r:id="rId8"/>
    <pivotCache cacheId="4710" r:id="rId9"/>
    <pivotCache cacheId="4713" r:id="rId10"/>
    <pivotCache cacheId="4716" r:id="rId11"/>
    <pivotCache cacheId="4719" r:id="rId12"/>
    <pivotCache cacheId="4722" r:id="rId13"/>
    <pivotCache cacheId="4725" r:id="rId14"/>
    <pivotCache cacheId="4728" r:id="rId15"/>
  </pivotCaches>
  <extLst>
    <ext xmlns:x14="http://schemas.microsoft.com/office/spreadsheetml/2009/9/main" uri="{876F7934-8845-4945-9796-88D515C7AA90}">
      <x14:pivotCaches>
        <pivotCache cacheId="1157"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58" r:id="rId18"/>
        <pivotCache cacheId="1254"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cc4a07e7-a7de-4376-812e-02073b6f2d6d" name="customers" connection="Query - customers"/>
          <x15:modelTable id="orders_75a96f2a-ef8e-4a51-9566-252e571092e3" name="orders" connection="Query - orders"/>
          <x15:modelTable id="products_cb3f84ea-e053-47f4-9a11-94a38e376bb6"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D6C009-2ADC-4960-AA71-689D6FDB5325}" name="Query - customers" description="Connection to the 'customers' query in the workbook." type="100" refreshedVersion="8" minRefreshableVersion="5">
    <extLst>
      <ext xmlns:x15="http://schemas.microsoft.com/office/spreadsheetml/2010/11/main" uri="{DE250136-89BD-433C-8126-D09CA5730AF9}">
        <x15:connection id="bec431e4-ccb9-4274-a213-f00323646479">
          <x15:oledbPr connection="Provider=Microsoft.Mashup.OleDb.1;Data Source=$Workbook$;Location=customers;Extended Properties=&quot;&quot;">
            <x15:dbTables>
              <x15:dbTable name="customers"/>
            </x15:dbTables>
          </x15:oledbPr>
        </x15:connection>
      </ext>
    </extLst>
  </connection>
  <connection id="2" xr16:uid="{3525F7E4-477E-4AEF-8FF4-FAABBDDD3A96}" keepAlive="1" name="Query - Datasets" description="Connection to the 'Datasets' query in the workbook." type="5" refreshedVersion="0" background="1">
    <dbPr connection="Provider=Microsoft.Mashup.OleDb.1;Data Source=$Workbook$;Location=Datasets;Extended Properties=&quot;&quot;" command="SELECT * FROM [Datasets]"/>
  </connection>
  <connection id="3" xr16:uid="{6BB1D3AB-D8CC-41A0-815A-8058E2B4CA00}" name="Query - orders" description="Connection to the 'orders' query in the workbook." type="100" refreshedVersion="8" minRefreshableVersion="5">
    <extLst>
      <ext xmlns:x15="http://schemas.microsoft.com/office/spreadsheetml/2010/11/main" uri="{DE250136-89BD-433C-8126-D09CA5730AF9}">
        <x15:connection id="d6bfa94c-3ae6-4088-823a-03da6f8cbfce"/>
      </ext>
    </extLst>
  </connection>
  <connection id="4" xr16:uid="{2850F67A-4553-4847-B81F-34DB240460D6}" name="Query - products" description="Connection to the 'products' query in the workbook." type="100" refreshedVersion="8" minRefreshableVersion="5">
    <extLst>
      <ext xmlns:x15="http://schemas.microsoft.com/office/spreadsheetml/2010/11/main" uri="{DE250136-89BD-433C-8126-D09CA5730AF9}">
        <x15:connection id="dd150dbb-05be-48a0-9b2a-ae5f568ac839"/>
      </ext>
    </extLst>
  </connection>
  <connection id="5" xr16:uid="{DBC5DD37-6317-4571-A4DB-F53C9C91C97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<sst xmlns="http://schemas.openxmlformats.org/spreadsheetml/2006/main" count="94" uniqueCount="77">
  <si>
    <t>Veer Ray</t>
  </si>
  <si>
    <t>Samaira Ganesh</t>
  </si>
  <si>
    <t>Machilipatnam</t>
  </si>
  <si>
    <t>Bidhannagar</t>
  </si>
  <si>
    <t>Jhanvi Chowdhury</t>
  </si>
  <si>
    <t>Kavali</t>
  </si>
  <si>
    <t>Haridwar</t>
  </si>
  <si>
    <t>Mannat Anand</t>
  </si>
  <si>
    <t>Bhatpara</t>
  </si>
  <si>
    <t>Dibrugarh</t>
  </si>
  <si>
    <t>Seher Mann</t>
  </si>
  <si>
    <t>Agra</t>
  </si>
  <si>
    <t>Divit Mahajan</t>
  </si>
  <si>
    <t>Imphal</t>
  </si>
  <si>
    <t>Aradhya Batta</t>
  </si>
  <si>
    <t>Dhanbad</t>
  </si>
  <si>
    <t>Akarsh Ramesh</t>
  </si>
  <si>
    <t>North Dumdum</t>
  </si>
  <si>
    <t>Anahita Shankar</t>
  </si>
  <si>
    <t>Ranbir Loyal</t>
  </si>
  <si>
    <t>Magnam Set</t>
  </si>
  <si>
    <t>Soft Toys</t>
  </si>
  <si>
    <t>All Occasions</t>
  </si>
  <si>
    <t>Plants</t>
  </si>
  <si>
    <t>Valentine's Day</t>
  </si>
  <si>
    <t>Colors</t>
  </si>
  <si>
    <t>Sweets</t>
  </si>
  <si>
    <t>Diwali</t>
  </si>
  <si>
    <t>Cake</t>
  </si>
  <si>
    <t>Holi</t>
  </si>
  <si>
    <t>Anniversary</t>
  </si>
  <si>
    <t>Raksha Bandhan</t>
  </si>
  <si>
    <t>Birthday</t>
  </si>
  <si>
    <t>Mugs</t>
  </si>
  <si>
    <t>Deserunt Box</t>
  </si>
  <si>
    <t>Quia Gift</t>
  </si>
  <si>
    <t>Dignissimos Pack</t>
  </si>
  <si>
    <t>Ad Box</t>
  </si>
  <si>
    <t>Aliquam Box</t>
  </si>
  <si>
    <t>Harum Pack</t>
  </si>
  <si>
    <t>Dolores Gift</t>
  </si>
  <si>
    <t>Error Gift</t>
  </si>
  <si>
    <t>Sum of revenue</t>
  </si>
  <si>
    <t>April</t>
  </si>
  <si>
    <t>August</t>
  </si>
  <si>
    <t>December</t>
  </si>
  <si>
    <t>February</t>
  </si>
  <si>
    <t>January</t>
  </si>
  <si>
    <t>July</t>
  </si>
  <si>
    <t>June</t>
  </si>
  <si>
    <t>March</t>
  </si>
  <si>
    <t>May</t>
  </si>
  <si>
    <t>November</t>
  </si>
  <si>
    <t>October</t>
  </si>
  <si>
    <t>September</t>
  </si>
  <si>
    <t>Grand Total</t>
  </si>
  <si>
    <t>Sum of Quantity</t>
  </si>
  <si>
    <t>Average of Days</t>
  </si>
  <si>
    <t>Average of revenue</t>
  </si>
  <si>
    <t>Top customers</t>
  </si>
  <si>
    <t>Top products</t>
  </si>
  <si>
    <t>Monthly sales perf</t>
  </si>
  <si>
    <t>Top 10 Cities</t>
  </si>
  <si>
    <t>Rev by occasions</t>
  </si>
  <si>
    <t>Products popularity</t>
  </si>
  <si>
    <t>Top categories</t>
  </si>
  <si>
    <t>Count of Order_ID</t>
  </si>
  <si>
    <t>Days most order transaction</t>
  </si>
  <si>
    <t>Friday</t>
  </si>
  <si>
    <t>Monday</t>
  </si>
  <si>
    <t>Saturday</t>
  </si>
  <si>
    <t>Sunday</t>
  </si>
  <si>
    <t>Thursday</t>
  </si>
  <si>
    <t>Tuesday</t>
  </si>
  <si>
    <t>Wednesday</t>
  </si>
  <si>
    <t>Hours most order sales rev</t>
  </si>
  <si>
    <t>total_sales_rev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</si>
</sst>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quot;$&quot;#,##0.00"/>
    <numFmt numFmtId="167" formatCode="&quot;$&quot;#,##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0" fontId="0" fillId="0" borderId="0" xfId="0" pivotButton="1"/>
    <xf numFmtId="166" fontId="0" fillId="0" borderId="0" xfId="0" applyNumberFormat="1"/>
    <xf numFmtId="167" fontId="0" fillId="0" borderId="0" xfId="0" applyNumberFormat="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pivotCacheDefinition" Target="pivotCache/pivotCacheDefinition15.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11/relationships/timelineCache" Target="timelineCaches/timelineCache2.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55" Type="http://schemas.openxmlformats.org/officeDocument/2006/relationships/customXml" Target="../customXml/item29.xml"/><Relationship Id="rId63" Type="http://schemas.openxmlformats.org/officeDocument/2006/relationships/customXml" Target="../customXml/item37.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9" Type="http://schemas.openxmlformats.org/officeDocument/2006/relationships/customXml" Target="../customXml/item3.xml"/><Relationship Id="rId11" Type="http://schemas.openxmlformats.org/officeDocument/2006/relationships/pivotCacheDefinition" Target="pivotCache/pivotCacheDefinition9.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8" Type="http://schemas.openxmlformats.org/officeDocument/2006/relationships/customXml" Target="../customXml/item32.xml"/><Relationship Id="rId5" Type="http://schemas.openxmlformats.org/officeDocument/2006/relationships/pivotCacheDefinition" Target="pivotCache/pivotCacheDefinition3.xml"/><Relationship Id="rId61" Type="http://schemas.openxmlformats.org/officeDocument/2006/relationships/customXml" Target="../customXml/item35.xml"/><Relationship Id="rId19" Type="http://schemas.openxmlformats.org/officeDocument/2006/relationships/pivotCacheDefinition" Target="pivotCache/pivotCacheDefinition16.xml"/><Relationship Id="rId14" Type="http://schemas.openxmlformats.org/officeDocument/2006/relationships/pivotCacheDefinition" Target="pivotCache/pivotCacheDefinition12.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56" Type="http://schemas.openxmlformats.org/officeDocument/2006/relationships/customXml" Target="../customXml/item30.xml"/><Relationship Id="rId64" Type="http://schemas.openxmlformats.org/officeDocument/2006/relationships/customXml" Target="../customXml/item38.xml"/><Relationship Id="rId8" Type="http://schemas.openxmlformats.org/officeDocument/2006/relationships/pivotCacheDefinition" Target="pivotCache/pivotCacheDefinition6.xml"/><Relationship Id="rId51" Type="http://schemas.openxmlformats.org/officeDocument/2006/relationships/customXml" Target="../customXml/item25.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microsoft.com/office/2007/relationships/slicerCache" Target="slicerCaches/slicerCache1.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59" Type="http://schemas.openxmlformats.org/officeDocument/2006/relationships/customXml" Target="../customXml/item33.xml"/><Relationship Id="rId20" Type="http://schemas.microsoft.com/office/2011/relationships/timelineCache" Target="timelineCaches/timelineCache1.xml"/><Relationship Id="rId41" Type="http://schemas.openxmlformats.org/officeDocument/2006/relationships/customXml" Target="../customXml/item15.xml"/><Relationship Id="rId54" Type="http://schemas.openxmlformats.org/officeDocument/2006/relationships/customXml" Target="../customXml/item28.xml"/><Relationship Id="rId62" Type="http://schemas.openxmlformats.org/officeDocument/2006/relationships/customXml" Target="../customXml/item36.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openxmlformats.org/officeDocument/2006/relationships/pivotCacheDefinition" Target="pivotCache/pivotCacheDefinition13.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57" Type="http://schemas.openxmlformats.org/officeDocument/2006/relationships/customXml" Target="../customXml/item31.xml"/><Relationship Id="rId10" Type="http://schemas.openxmlformats.org/officeDocument/2006/relationships/pivotCacheDefinition" Target="pivotCache/pivotCacheDefinition8.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60" Type="http://schemas.openxmlformats.org/officeDocument/2006/relationships/customXml" Target="../customXml/item34.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interactive Dashboard.xlsx]Pivot tables!PivotTable25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tables'!$H$19</c:f>
              <c:strCache>
                <c:ptCount val="1"/>
                <c:pt idx="0">
                  <c:v>Total</c:v>
                </c:pt>
              </c:strCache>
            </c:strRef>
          </c:tx>
          <c:spPr>
            <a:solidFill>
              <a:schemeClr val="accent1"/>
            </a:solidFill>
            <a:ln>
              <a:noFill/>
            </a:ln>
            <a:effectLst/>
          </c:spPr>
          <c:invertIfNegative val="0"/>
          <c:cat>
            <c:strRef>
              <c:f>'Pivot tables'!$G$20:$G$27</c:f>
              <c:strCache>
                <c:ptCount val="7"/>
                <c:pt idx="0">
                  <c:v>Anniversary</c:v>
                </c:pt>
                <c:pt idx="1">
                  <c:v>Raksha Bandhan</c:v>
                </c:pt>
                <c:pt idx="2">
                  <c:v>All Occasions</c:v>
                </c:pt>
                <c:pt idx="3">
                  <c:v>Holi</c:v>
                </c:pt>
                <c:pt idx="4">
                  <c:v>Birthday</c:v>
                </c:pt>
                <c:pt idx="5">
                  <c:v>Valentine's Day</c:v>
                </c:pt>
                <c:pt idx="6">
                  <c:v>Diwali</c:v>
                </c:pt>
              </c:strCache>
            </c:strRef>
          </c:cat>
          <c:val>
            <c:numRef>
              <c:f>'Pivot tables'!$H$20:$H$27</c:f>
              <c:numCache>
                <c:formatCode>"$"#,##0</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0-A697-488E-8157-4BE05425FE6F}"/>
            </c:ext>
          </c:extLst>
        </c:ser>
        <c:dLbls>
          <c:showLegendKey val="0"/>
          <c:showVal val="0"/>
          <c:showCatName val="0"/>
          <c:showSerName val="0"/>
          <c:showPercent val="0"/>
          <c:showBubbleSize val="0"/>
        </c:dLbls>
        <c:gapWidth val="219"/>
        <c:overlap val="-27"/>
        <c:axId val="393773264"/>
        <c:axId val="393773744"/>
      </c:barChart>
      <c:catAx>
        <c:axId val="393773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773744"/>
        <c:crosses val="autoZero"/>
        <c:auto val="1"/>
        <c:lblAlgn val="ctr"/>
        <c:lblOffset val="100"/>
        <c:noMultiLvlLbl val="0"/>
      </c:catAx>
      <c:valAx>
        <c:axId val="393773744"/>
        <c:scaling>
          <c:orientation val="minMax"/>
        </c:scaling>
        <c:delete val="0"/>
        <c:axPos val="l"/>
        <c:majorGridlines>
          <c:spPr>
            <a:ln w="9525" cap="flat" cmpd="sng" algn="ctr">
              <a:no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773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interactive Dashboard.xlsx]Pivot tables!PivotTable27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75086719687677"/>
          <c:y val="0.15782407407407409"/>
          <c:w val="0.77564779276962237"/>
          <c:h val="0.6704013560804899"/>
        </c:manualLayout>
      </c:layout>
      <c:barChart>
        <c:barDir val="col"/>
        <c:grouping val="clustered"/>
        <c:varyColors val="0"/>
        <c:ser>
          <c:idx val="0"/>
          <c:order val="0"/>
          <c:tx>
            <c:strRef>
              <c:f>'Pivot tables'!$H$36</c:f>
              <c:strCache>
                <c:ptCount val="1"/>
                <c:pt idx="0">
                  <c:v>Total</c:v>
                </c:pt>
              </c:strCache>
            </c:strRef>
          </c:tx>
          <c:spPr>
            <a:solidFill>
              <a:schemeClr val="accent1"/>
            </a:solidFill>
            <a:ln>
              <a:noFill/>
            </a:ln>
            <a:effectLst/>
          </c:spPr>
          <c:invertIfNegative val="0"/>
          <c:cat>
            <c:strRef>
              <c:f>'Pivot tables'!$G$37:$G$44</c:f>
              <c:strCache>
                <c:ptCount val="7"/>
                <c:pt idx="0">
                  <c:v>Colors</c:v>
                </c:pt>
                <c:pt idx="1">
                  <c:v>Soft Toys</c:v>
                </c:pt>
                <c:pt idx="2">
                  <c:v>Sweets</c:v>
                </c:pt>
                <c:pt idx="3">
                  <c:v>Cake</c:v>
                </c:pt>
                <c:pt idx="4">
                  <c:v>Raksha Bandhan</c:v>
                </c:pt>
                <c:pt idx="5">
                  <c:v>Plants</c:v>
                </c:pt>
                <c:pt idx="6">
                  <c:v>Mugs</c:v>
                </c:pt>
              </c:strCache>
            </c:strRef>
          </c:cat>
          <c:val>
            <c:numRef>
              <c:f>'Pivot tables'!$H$37:$H$44</c:f>
              <c:numCache>
                <c:formatCode>"$"#,##0</c:formatCode>
                <c:ptCount val="7"/>
                <c:pt idx="0">
                  <c:v>1005645</c:v>
                </c:pt>
                <c:pt idx="1">
                  <c:v>740831</c:v>
                </c:pt>
                <c:pt idx="2">
                  <c:v>733842</c:v>
                </c:pt>
                <c:pt idx="3">
                  <c:v>329862</c:v>
                </c:pt>
                <c:pt idx="4">
                  <c:v>297372</c:v>
                </c:pt>
                <c:pt idx="5">
                  <c:v>212281</c:v>
                </c:pt>
                <c:pt idx="6">
                  <c:v>201151</c:v>
                </c:pt>
              </c:numCache>
            </c:numRef>
          </c:val>
          <c:extLst>
            <c:ext xmlns:c16="http://schemas.microsoft.com/office/drawing/2014/chart" uri="{C3380CC4-5D6E-409C-BE32-E72D297353CC}">
              <c16:uniqueId val="{00000004-02B4-48E1-AF47-350DE60C5FC9}"/>
            </c:ext>
          </c:extLst>
        </c:ser>
        <c:dLbls>
          <c:showLegendKey val="0"/>
          <c:showVal val="0"/>
          <c:showCatName val="0"/>
          <c:showSerName val="0"/>
          <c:showPercent val="0"/>
          <c:showBubbleSize val="0"/>
        </c:dLbls>
        <c:gapWidth val="219"/>
        <c:overlap val="-27"/>
        <c:axId val="2097555087"/>
        <c:axId val="2097554127"/>
      </c:barChart>
      <c:catAx>
        <c:axId val="2097555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554127"/>
        <c:crosses val="autoZero"/>
        <c:auto val="1"/>
        <c:lblAlgn val="ctr"/>
        <c:lblOffset val="100"/>
        <c:noMultiLvlLbl val="0"/>
      </c:catAx>
      <c:valAx>
        <c:axId val="2097554127"/>
        <c:scaling>
          <c:orientation val="minMax"/>
        </c:scaling>
        <c:delete val="0"/>
        <c:axPos val="l"/>
        <c:majorGridlines>
          <c:spPr>
            <a:ln w="9525" cap="flat" cmpd="sng" algn="ctr">
              <a:no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555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interactive Dashboard.xlsx]Pivot tables!PivotTable17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tables'!$H$3</c:f>
              <c:strCache>
                <c:ptCount val="1"/>
                <c:pt idx="0">
                  <c:v>Total</c:v>
                </c:pt>
              </c:strCache>
            </c:strRef>
          </c:tx>
          <c:spPr>
            <a:ln w="28575" cap="rnd">
              <a:solidFill>
                <a:schemeClr val="accent1"/>
              </a:solidFill>
              <a:round/>
            </a:ln>
            <a:effectLst/>
          </c:spPr>
          <c:marker>
            <c:symbol val="none"/>
          </c:marker>
          <c:cat>
            <c:strRef>
              <c:f>'Pivot tables'!$G$4:$G$16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tables'!$H$4:$H$16</c:f>
              <c:numCache>
                <c:formatCode>"$"#,##0.00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2-C959-41B1-9626-92A7D47C18ED}"/>
            </c:ext>
          </c:extLst>
        </c:ser>
        <c:dLbls>
          <c:showLegendKey val="0"/>
          <c:showVal val="0"/>
          <c:showCatName val="0"/>
          <c:showSerName val="0"/>
          <c:showPercent val="0"/>
          <c:showBubbleSize val="0"/>
        </c:dLbls>
        <c:smooth val="0"/>
        <c:axId val="275336368"/>
        <c:axId val="275336848"/>
      </c:lineChart>
      <c:catAx>
        <c:axId val="27533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336848"/>
        <c:crosses val="autoZero"/>
        <c:auto val="1"/>
        <c:lblAlgn val="ctr"/>
        <c:lblOffset val="100"/>
        <c:noMultiLvlLbl val="0"/>
      </c:catAx>
      <c:valAx>
        <c:axId val="275336848"/>
        <c:scaling>
          <c:orientation val="minMax"/>
        </c:scaling>
        <c:delete val="0"/>
        <c:axPos val="l"/>
        <c:majorGridlines>
          <c:spPr>
            <a:ln w="9525" cap="flat" cmpd="sng" algn="ctr">
              <a:no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336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interactive Dashboard.xlsx]Pivot tables!PivotTable18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a:t>
            </a:r>
            <a:r>
              <a:rPr lang="en-US" baseline="0"/>
              <a:t>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tables'!$K$3</c:f>
              <c:strCache>
                <c:ptCount val="1"/>
                <c:pt idx="0">
                  <c:v>Total</c:v>
                </c:pt>
              </c:strCache>
            </c:strRef>
          </c:tx>
          <c:spPr>
            <a:solidFill>
              <a:schemeClr val="accent1"/>
            </a:solidFill>
            <a:ln>
              <a:noFill/>
            </a:ln>
            <a:effectLst/>
          </c:spPr>
          <c:invertIfNegative val="0"/>
          <c:cat>
            <c:strRef>
              <c:f>'Pivot tables'!$J$4:$J$9</c:f>
              <c:strCache>
                <c:ptCount val="5"/>
                <c:pt idx="0">
                  <c:v>Magnam Set</c:v>
                </c:pt>
                <c:pt idx="1">
                  <c:v>Quia Gift</c:v>
                </c:pt>
                <c:pt idx="2">
                  <c:v>Dolores Gift</c:v>
                </c:pt>
                <c:pt idx="3">
                  <c:v>Harum Pack</c:v>
                </c:pt>
                <c:pt idx="4">
                  <c:v>Deserunt Box</c:v>
                </c:pt>
              </c:strCache>
            </c:strRef>
          </c:cat>
          <c:val>
            <c:numRef>
              <c:f>'Pivot tables'!$K$4:$K$9</c:f>
              <c:numCache>
                <c:formatCode>"$"#,##0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4-32D9-413D-B9FF-0728DFA547C9}"/>
            </c:ext>
          </c:extLst>
        </c:ser>
        <c:dLbls>
          <c:showLegendKey val="0"/>
          <c:showVal val="0"/>
          <c:showCatName val="0"/>
          <c:showSerName val="0"/>
          <c:showPercent val="0"/>
          <c:showBubbleSize val="0"/>
        </c:dLbls>
        <c:gapWidth val="219"/>
        <c:overlap val="-27"/>
        <c:axId val="429966112"/>
        <c:axId val="429961792"/>
      </c:barChart>
      <c:catAx>
        <c:axId val="429966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961792"/>
        <c:crosses val="autoZero"/>
        <c:auto val="1"/>
        <c:lblAlgn val="ctr"/>
        <c:lblOffset val="100"/>
        <c:noMultiLvlLbl val="0"/>
      </c:catAx>
      <c:valAx>
        <c:axId val="429961792"/>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966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interactive Dashboard.xlsx]Pivot tables!PivotTable23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a:t>
            </a:r>
            <a:r>
              <a:rPr lang="en-US" baseline="0"/>
              <a:t>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tables'!$D$19</c:f>
              <c:strCache>
                <c:ptCount val="1"/>
                <c:pt idx="0">
                  <c:v>Total</c:v>
                </c:pt>
              </c:strCache>
            </c:strRef>
          </c:tx>
          <c:spPr>
            <a:solidFill>
              <a:schemeClr val="accent1"/>
            </a:solidFill>
            <a:ln>
              <a:noFill/>
            </a:ln>
            <a:effectLst/>
          </c:spPr>
          <c:invertIfNegative val="0"/>
          <c:cat>
            <c:strRef>
              <c:f>'Pivot tables'!$C$20:$C$30</c:f>
              <c:strCache>
                <c:ptCount val="10"/>
                <c:pt idx="0">
                  <c:v>Imphal</c:v>
                </c:pt>
                <c:pt idx="1">
                  <c:v>Kavali</c:v>
                </c:pt>
                <c:pt idx="2">
                  <c:v>Dhanbad</c:v>
                </c:pt>
                <c:pt idx="3">
                  <c:v>North Dumdum</c:v>
                </c:pt>
                <c:pt idx="4">
                  <c:v>Haridwar</c:v>
                </c:pt>
                <c:pt idx="5">
                  <c:v>Dibrugarh</c:v>
                </c:pt>
                <c:pt idx="6">
                  <c:v>Machilipatnam</c:v>
                </c:pt>
                <c:pt idx="7">
                  <c:v>Bhatpara</c:v>
                </c:pt>
                <c:pt idx="8">
                  <c:v>Agra</c:v>
                </c:pt>
                <c:pt idx="9">
                  <c:v>Bidhannagar</c:v>
                </c:pt>
              </c:strCache>
            </c:strRef>
          </c:cat>
          <c:val>
            <c:numRef>
              <c:f>'Pivot tables'!$D$20:$D$30</c:f>
              <c:numCache>
                <c:formatCode>"$"#,##0</c:formatCode>
                <c:ptCount val="10"/>
                <c:pt idx="0">
                  <c:v>125854</c:v>
                </c:pt>
                <c:pt idx="1">
                  <c:v>109979</c:v>
                </c:pt>
                <c:pt idx="2">
                  <c:v>93813</c:v>
                </c:pt>
                <c:pt idx="3">
                  <c:v>81663</c:v>
                </c:pt>
                <c:pt idx="4">
                  <c:v>80733</c:v>
                </c:pt>
                <c:pt idx="5">
                  <c:v>76822</c:v>
                </c:pt>
                <c:pt idx="6">
                  <c:v>75029</c:v>
                </c:pt>
                <c:pt idx="7">
                  <c:v>72973</c:v>
                </c:pt>
                <c:pt idx="8">
                  <c:v>70409</c:v>
                </c:pt>
                <c:pt idx="9">
                  <c:v>69117</c:v>
                </c:pt>
              </c:numCache>
            </c:numRef>
          </c:val>
          <c:extLst>
            <c:ext xmlns:c16="http://schemas.microsoft.com/office/drawing/2014/chart" uri="{C3380CC4-5D6E-409C-BE32-E72D297353CC}">
              <c16:uniqueId val="{00000003-AD7D-482C-9CF4-AA357490049C}"/>
            </c:ext>
          </c:extLst>
        </c:ser>
        <c:dLbls>
          <c:showLegendKey val="0"/>
          <c:showVal val="0"/>
          <c:showCatName val="0"/>
          <c:showSerName val="0"/>
          <c:showPercent val="0"/>
          <c:showBubbleSize val="0"/>
        </c:dLbls>
        <c:gapWidth val="219"/>
        <c:overlap val="-27"/>
        <c:axId val="429958912"/>
        <c:axId val="429959392"/>
      </c:barChart>
      <c:catAx>
        <c:axId val="42995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959392"/>
        <c:crosses val="autoZero"/>
        <c:auto val="1"/>
        <c:lblAlgn val="ctr"/>
        <c:lblOffset val="100"/>
        <c:noMultiLvlLbl val="0"/>
      </c:catAx>
      <c:valAx>
        <c:axId val="429959392"/>
        <c:scaling>
          <c:orientation val="minMax"/>
        </c:scaling>
        <c:delete val="0"/>
        <c:axPos val="l"/>
        <c:majorGridlines>
          <c:spPr>
            <a:ln w="9525" cap="flat" cmpd="sng" algn="ctr">
              <a:no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958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interactive Dashboard.xlsx]Pivot tables!PivotTable29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 (Order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tables'!$K$40</c:f>
              <c:strCache>
                <c:ptCount val="1"/>
                <c:pt idx="0">
                  <c:v>Total</c:v>
                </c:pt>
              </c:strCache>
            </c:strRef>
          </c:tx>
          <c:spPr>
            <a:ln w="28575" cap="rnd">
              <a:solidFill>
                <a:schemeClr val="accent1"/>
              </a:solidFill>
              <a:round/>
            </a:ln>
            <a:effectLst/>
          </c:spPr>
          <c:marker>
            <c:symbol val="none"/>
          </c:marker>
          <c:cat>
            <c:strRef>
              <c:f>'Pivot tables'!$J$41:$J$65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tables'!$K$41:$K$65</c:f>
              <c:numCache>
                <c:formatCode>"$"#,##0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3-6A93-417A-A7A4-22A0E9F443DD}"/>
            </c:ext>
          </c:extLst>
        </c:ser>
        <c:dLbls>
          <c:showLegendKey val="0"/>
          <c:showVal val="0"/>
          <c:showCatName val="0"/>
          <c:showSerName val="0"/>
          <c:showPercent val="0"/>
          <c:showBubbleSize val="0"/>
        </c:dLbls>
        <c:smooth val="0"/>
        <c:axId val="440583648"/>
        <c:axId val="440590848"/>
      </c:lineChart>
      <c:catAx>
        <c:axId val="44058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590848"/>
        <c:crosses val="autoZero"/>
        <c:auto val="1"/>
        <c:lblAlgn val="ctr"/>
        <c:lblOffset val="100"/>
        <c:tickLblSkip val="2"/>
        <c:noMultiLvlLbl val="0"/>
      </c:catAx>
      <c:valAx>
        <c:axId val="440590848"/>
        <c:scaling>
          <c:orientation val="minMax"/>
        </c:scaling>
        <c:delete val="0"/>
        <c:axPos val="l"/>
        <c:majorGridlines>
          <c:spPr>
            <a:ln w="9525" cap="flat" cmpd="sng" algn="ctr">
              <a:no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583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455083</xdr:colOff>
      <xdr:row>7</xdr:row>
      <xdr:rowOff>116730</xdr:rowOff>
    </xdr:from>
    <xdr:to>
      <xdr:col>11</xdr:col>
      <xdr:colOff>508001</xdr:colOff>
      <xdr:row>25</xdr:row>
      <xdr:rowOff>116417</xdr:rowOff>
    </xdr:to>
    <xdr:graphicFrame macro="">
      <xdr:nvGraphicFramePr>
        <xdr:cNvPr id="2" name="Chart 1">
          <a:extLst>
            <a:ext uri="{FF2B5EF4-FFF2-40B4-BE49-F238E27FC236}">
              <a16:creationId xmlns:a16="http://schemas.microsoft.com/office/drawing/2014/main" id="{0B837794-0A80-4DA9-97F0-018FD179D8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38098</xdr:colOff>
      <xdr:row>26</xdr:row>
      <xdr:rowOff>90270</xdr:rowOff>
    </xdr:from>
    <xdr:to>
      <xdr:col>18</xdr:col>
      <xdr:colOff>317499</xdr:colOff>
      <xdr:row>45</xdr:row>
      <xdr:rowOff>148167</xdr:rowOff>
    </xdr:to>
    <xdr:graphicFrame macro="">
      <xdr:nvGraphicFramePr>
        <xdr:cNvPr id="3" name="Chart 2">
          <a:extLst>
            <a:ext uri="{FF2B5EF4-FFF2-40B4-BE49-F238E27FC236}">
              <a16:creationId xmlns:a16="http://schemas.microsoft.com/office/drawing/2014/main" id="{197C8991-6AD1-4B37-A2A0-9C3C4DF7EC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466726</xdr:colOff>
      <xdr:row>7</xdr:row>
      <xdr:rowOff>156947</xdr:rowOff>
    </xdr:from>
    <xdr:to>
      <xdr:col>27</xdr:col>
      <xdr:colOff>296333</xdr:colOff>
      <xdr:row>25</xdr:row>
      <xdr:rowOff>137583</xdr:rowOff>
    </xdr:to>
    <xdr:graphicFrame macro="">
      <xdr:nvGraphicFramePr>
        <xdr:cNvPr id="4" name="Chart 3">
          <a:extLst>
            <a:ext uri="{FF2B5EF4-FFF2-40B4-BE49-F238E27FC236}">
              <a16:creationId xmlns:a16="http://schemas.microsoft.com/office/drawing/2014/main" id="{8BEA373F-D91E-4DD3-A751-50A3390951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52917</xdr:colOff>
      <xdr:row>7</xdr:row>
      <xdr:rowOff>128372</xdr:rowOff>
    </xdr:from>
    <xdr:to>
      <xdr:col>18</xdr:col>
      <xdr:colOff>348193</xdr:colOff>
      <xdr:row>25</xdr:row>
      <xdr:rowOff>137583</xdr:rowOff>
    </xdr:to>
    <xdr:graphicFrame macro="">
      <xdr:nvGraphicFramePr>
        <xdr:cNvPr id="5" name="Chart 4">
          <a:extLst>
            <a:ext uri="{FF2B5EF4-FFF2-40B4-BE49-F238E27FC236}">
              <a16:creationId xmlns:a16="http://schemas.microsoft.com/office/drawing/2014/main" id="{7FC6394C-2EBE-4F2C-ACB3-8F611BB89C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430740</xdr:colOff>
      <xdr:row>26</xdr:row>
      <xdr:rowOff>82863</xdr:rowOff>
    </xdr:from>
    <xdr:to>
      <xdr:col>11</xdr:col>
      <xdr:colOff>516465</xdr:colOff>
      <xdr:row>45</xdr:row>
      <xdr:rowOff>169333</xdr:rowOff>
    </xdr:to>
    <xdr:graphicFrame macro="">
      <xdr:nvGraphicFramePr>
        <xdr:cNvPr id="6" name="Chart 5">
          <a:extLst>
            <a:ext uri="{FF2B5EF4-FFF2-40B4-BE49-F238E27FC236}">
              <a16:creationId xmlns:a16="http://schemas.microsoft.com/office/drawing/2014/main" id="{25A7EC32-F12C-49D6-87F8-AC49B12AE8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476251</xdr:colOff>
      <xdr:row>26</xdr:row>
      <xdr:rowOff>109321</xdr:rowOff>
    </xdr:from>
    <xdr:to>
      <xdr:col>27</xdr:col>
      <xdr:colOff>275167</xdr:colOff>
      <xdr:row>45</xdr:row>
      <xdr:rowOff>169332</xdr:rowOff>
    </xdr:to>
    <xdr:graphicFrame macro="">
      <xdr:nvGraphicFramePr>
        <xdr:cNvPr id="9" name="Chart 8">
          <a:extLst>
            <a:ext uri="{FF2B5EF4-FFF2-40B4-BE49-F238E27FC236}">
              <a16:creationId xmlns:a16="http://schemas.microsoft.com/office/drawing/2014/main" id="{C69332EA-E05E-4C07-8377-B1C864A5EA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444501</xdr:colOff>
      <xdr:row>1</xdr:row>
      <xdr:rowOff>95250</xdr:rowOff>
    </xdr:from>
    <xdr:to>
      <xdr:col>7</xdr:col>
      <xdr:colOff>127001</xdr:colOff>
      <xdr:row>6</xdr:row>
      <xdr:rowOff>161925</xdr:rowOff>
    </xdr:to>
    <xdr:sp macro="" textlink="">
      <xdr:nvSpPr>
        <xdr:cNvPr id="10" name="Rectangle: Rounded Corners 9">
          <a:extLst>
            <a:ext uri="{FF2B5EF4-FFF2-40B4-BE49-F238E27FC236}">
              <a16:creationId xmlns:a16="http://schemas.microsoft.com/office/drawing/2014/main" id="{A35F75CF-9634-2EC0-26BD-9E484CCE902E}"/>
            </a:ext>
          </a:extLst>
        </xdr:cNvPr>
        <xdr:cNvSpPr/>
      </xdr:nvSpPr>
      <xdr:spPr>
        <a:xfrm>
          <a:off x="1058334" y="285750"/>
          <a:ext cx="3365500" cy="10191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CA" sz="16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a:p>
          <a:pPr marL="0" indent="0" algn="ctr"/>
          <a:r>
            <a:rPr lang="en-CA" sz="18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       </a:t>
          </a:r>
          <a:r>
            <a:rPr lang="en-CA" sz="24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SALES</a:t>
          </a:r>
          <a:r>
            <a:rPr lang="en-CA" sz="1800" b="1" i="0" u="none" strike="noStrike" baseline="0">
              <a:solidFill>
                <a:schemeClr val="bg1"/>
              </a:solidFill>
              <a:latin typeface="Calibri" panose="020F0502020204030204" pitchFamily="34" charset="0"/>
              <a:ea typeface="Calibri" panose="020F0502020204030204" pitchFamily="34" charset="0"/>
              <a:cs typeface="Calibri" panose="020F0502020204030204" pitchFamily="34" charset="0"/>
            </a:rPr>
            <a:t> </a:t>
          </a:r>
          <a:r>
            <a:rPr lang="en-CA" sz="24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ANALYSIS</a:t>
          </a:r>
        </a:p>
      </xdr:txBody>
    </xdr:sp>
    <xdr:clientData/>
  </xdr:twoCellAnchor>
  <xdr:twoCellAnchor>
    <xdr:from>
      <xdr:col>7</xdr:col>
      <xdr:colOff>257174</xdr:colOff>
      <xdr:row>1</xdr:row>
      <xdr:rowOff>95249</xdr:rowOff>
    </xdr:from>
    <xdr:to>
      <xdr:col>12</xdr:col>
      <xdr:colOff>148166</xdr:colOff>
      <xdr:row>6</xdr:row>
      <xdr:rowOff>161924</xdr:rowOff>
    </xdr:to>
    <xdr:sp macro="" textlink="'Pivot tables'!C4">
      <xdr:nvSpPr>
        <xdr:cNvPr id="11" name="Rectangle: Rounded Corners 10">
          <a:extLst>
            <a:ext uri="{FF2B5EF4-FFF2-40B4-BE49-F238E27FC236}">
              <a16:creationId xmlns:a16="http://schemas.microsoft.com/office/drawing/2014/main" id="{3AB2F808-2B9F-4624-8E54-BBBFA137D9EB}"/>
            </a:ext>
          </a:extLst>
        </xdr:cNvPr>
        <xdr:cNvSpPr/>
      </xdr:nvSpPr>
      <xdr:spPr>
        <a:xfrm>
          <a:off x="4554007" y="285749"/>
          <a:ext cx="2960159" cy="10191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Total revenue</a:t>
          </a:r>
        </a:p>
        <a:p>
          <a:pPr algn="ctr"/>
          <a:fld id="{D172F4B0-1846-46BE-BC75-D0C0D6851498}" type="TxLink">
            <a:rPr lang="en-US" sz="20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ctr"/>
            <a:t>$3,520,984</a:t>
          </a:fld>
          <a:endParaRPr lang="en-CA" sz="20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1</xdr:col>
      <xdr:colOff>495299</xdr:colOff>
      <xdr:row>7</xdr:row>
      <xdr:rowOff>123824</xdr:rowOff>
    </xdr:from>
    <xdr:to>
      <xdr:col>5</xdr:col>
      <xdr:colOff>333374</xdr:colOff>
      <xdr:row>25</xdr:row>
      <xdr:rowOff>95249</xdr:rowOff>
    </xdr:to>
    <mc:AlternateContent xmlns:mc="http://schemas.openxmlformats.org/markup-compatibility/2006">
      <mc:Choice xmlns:a14="http://schemas.microsoft.com/office/drawing/2010/main" Requires="a14">
        <xdr:graphicFrame macro="">
          <xdr:nvGraphicFramePr>
            <xdr:cNvPr id="15" name="Occasion">
              <a:extLst>
                <a:ext uri="{FF2B5EF4-FFF2-40B4-BE49-F238E27FC236}">
                  <a16:creationId xmlns:a16="http://schemas.microsoft.com/office/drawing/2014/main" id="{27A0B0C5-E9EC-469D-BE27-E9A4A9F027C9}"/>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109132" y="1457324"/>
              <a:ext cx="2293409" cy="34004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457200</xdr:colOff>
      <xdr:row>26</xdr:row>
      <xdr:rowOff>76199</xdr:rowOff>
    </xdr:from>
    <xdr:to>
      <xdr:col>5</xdr:col>
      <xdr:colOff>295275</xdr:colOff>
      <xdr:row>35</xdr:row>
      <xdr:rowOff>28574</xdr:rowOff>
    </xdr:to>
    <mc:AlternateContent xmlns:mc="http://schemas.openxmlformats.org/markup-compatibility/2006">
      <mc:Choice xmlns:tsle="http://schemas.microsoft.com/office/drawing/2012/timeslicer" Requires="tsle">
        <xdr:graphicFrame macro="">
          <xdr:nvGraphicFramePr>
            <xdr:cNvPr id="16" name="Order_Date">
              <a:extLst>
                <a:ext uri="{FF2B5EF4-FFF2-40B4-BE49-F238E27FC236}">
                  <a16:creationId xmlns:a16="http://schemas.microsoft.com/office/drawing/2014/main" id="{1F534615-8551-4055-A7F4-A56AAF50809F}"/>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071033" y="5029199"/>
              <a:ext cx="2293409" cy="1666875"/>
            </a:xfrm>
            <a:prstGeom prst="rect">
              <a:avLst/>
            </a:prstGeom>
            <a:solidFill>
              <a:prstClr val="white"/>
            </a:solidFill>
            <a:ln w="1">
              <a:solidFill>
                <a:prstClr val="green"/>
              </a:solidFill>
            </a:ln>
          </xdr:spPr>
          <xdr:txBody>
            <a:bodyPr vertOverflow="clip" horzOverflow="clip"/>
            <a:lstStyle/>
            <a:p>
              <a:r>
                <a:rPr lang="en-CA" sz="1100"/>
                <a:t>Timeline: Works in Excel 2013 or higher. Do not move or resize.</a:t>
              </a:r>
            </a:p>
          </xdr:txBody>
        </xdr:sp>
      </mc:Fallback>
    </mc:AlternateContent>
    <xdr:clientData/>
  </xdr:twoCellAnchor>
  <xdr:twoCellAnchor editAs="oneCell">
    <xdr:from>
      <xdr:col>1</xdr:col>
      <xdr:colOff>428625</xdr:colOff>
      <xdr:row>36</xdr:row>
      <xdr:rowOff>66674</xdr:rowOff>
    </xdr:from>
    <xdr:to>
      <xdr:col>5</xdr:col>
      <xdr:colOff>328083</xdr:colOff>
      <xdr:row>45</xdr:row>
      <xdr:rowOff>169333</xdr:rowOff>
    </xdr:to>
    <mc:AlternateContent xmlns:mc="http://schemas.openxmlformats.org/markup-compatibility/2006">
      <mc:Choice xmlns:tsle="http://schemas.microsoft.com/office/drawing/2012/timeslicer" Requires="tsle">
        <xdr:graphicFrame macro="">
          <xdr:nvGraphicFramePr>
            <xdr:cNvPr id="17" name="Delivery_Date">
              <a:extLst>
                <a:ext uri="{FF2B5EF4-FFF2-40B4-BE49-F238E27FC236}">
                  <a16:creationId xmlns:a16="http://schemas.microsoft.com/office/drawing/2014/main" id="{BDB3EC41-2BC8-C3C1-9549-4CC0B05A1DAE}"/>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042458" y="6924674"/>
              <a:ext cx="2354792" cy="1817159"/>
            </a:xfrm>
            <a:prstGeom prst="rect">
              <a:avLst/>
            </a:prstGeom>
            <a:solidFill>
              <a:prstClr val="white"/>
            </a:solidFill>
            <a:ln w="1">
              <a:solidFill>
                <a:prstClr val="green"/>
              </a:solidFill>
            </a:ln>
          </xdr:spPr>
          <xdr:txBody>
            <a:bodyPr vertOverflow="clip" horzOverflow="clip"/>
            <a:lstStyle/>
            <a:p>
              <a:r>
                <a:rPr lang="en-CA" sz="1100"/>
                <a:t>Timeline: Works in Excel 2013 or higher. Do not move or resize.</a:t>
              </a:r>
            </a:p>
          </xdr:txBody>
        </xdr:sp>
      </mc:Fallback>
    </mc:AlternateContent>
    <xdr:clientData/>
  </xdr:twoCellAnchor>
  <xdr:twoCellAnchor>
    <xdr:from>
      <xdr:col>12</xdr:col>
      <xdr:colOff>264584</xdr:colOff>
      <xdr:row>1</xdr:row>
      <xdr:rowOff>126999</xdr:rowOff>
    </xdr:from>
    <xdr:to>
      <xdr:col>17</xdr:col>
      <xdr:colOff>58209</xdr:colOff>
      <xdr:row>6</xdr:row>
      <xdr:rowOff>173566</xdr:rowOff>
    </xdr:to>
    <xdr:sp macro="" textlink="'Pivot tables'!C10">
      <xdr:nvSpPr>
        <xdr:cNvPr id="19" name="Rectangle: Rounded Corners 18">
          <a:extLst>
            <a:ext uri="{FF2B5EF4-FFF2-40B4-BE49-F238E27FC236}">
              <a16:creationId xmlns:a16="http://schemas.microsoft.com/office/drawing/2014/main" id="{F4EA566B-5C85-4A6C-A49B-E4709C2A4A0A}"/>
            </a:ext>
          </a:extLst>
        </xdr:cNvPr>
        <xdr:cNvSpPr/>
      </xdr:nvSpPr>
      <xdr:spPr>
        <a:xfrm>
          <a:off x="7630584" y="317499"/>
          <a:ext cx="2862792" cy="99906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0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Total</a:t>
          </a:r>
          <a:r>
            <a:rPr lang="en-US" sz="2000" b="1" i="0" u="none" strike="noStrike" baseline="0">
              <a:solidFill>
                <a:schemeClr val="bg1"/>
              </a:solidFill>
              <a:latin typeface="Calibri" panose="020F0502020204030204" pitchFamily="34" charset="0"/>
              <a:ea typeface="Calibri" panose="020F0502020204030204" pitchFamily="34" charset="0"/>
              <a:cs typeface="Calibri" panose="020F0502020204030204" pitchFamily="34" charset="0"/>
            </a:rPr>
            <a:t> Orders</a:t>
          </a:r>
          <a:endParaRPr lang="en-US" sz="20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a:p>
          <a:pPr marL="0" indent="0" algn="ctr"/>
          <a:fld id="{76D8FBFD-4CF3-4836-80A1-CE14085A288D}" type="TxLink">
            <a:rPr lang="en-US" sz="20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marL="0" indent="0" algn="ctr"/>
            <a:t>1000</a:t>
          </a:fld>
          <a:endParaRPr lang="en-CA" sz="20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17</xdr:col>
      <xdr:colOff>222250</xdr:colOff>
      <xdr:row>1</xdr:row>
      <xdr:rowOff>126999</xdr:rowOff>
    </xdr:from>
    <xdr:to>
      <xdr:col>22</xdr:col>
      <xdr:colOff>31750</xdr:colOff>
      <xdr:row>7</xdr:row>
      <xdr:rowOff>10582</xdr:rowOff>
    </xdr:to>
    <xdr:sp macro="" textlink="'Pivot tables'!E4">
      <xdr:nvSpPr>
        <xdr:cNvPr id="20" name="Rectangle: Rounded Corners 19">
          <a:extLst>
            <a:ext uri="{FF2B5EF4-FFF2-40B4-BE49-F238E27FC236}">
              <a16:creationId xmlns:a16="http://schemas.microsoft.com/office/drawing/2014/main" id="{DD738C72-652F-496E-B382-DA6B0039A1E7}"/>
            </a:ext>
          </a:extLst>
        </xdr:cNvPr>
        <xdr:cNvSpPr/>
      </xdr:nvSpPr>
      <xdr:spPr>
        <a:xfrm>
          <a:off x="10657417" y="317499"/>
          <a:ext cx="2878666" cy="102658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0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Average Delivery Days</a:t>
          </a:r>
        </a:p>
        <a:p>
          <a:pPr marL="0" indent="0" algn="ctr"/>
          <a:fld id="{2ACE2BCD-C92C-457D-9DB1-735B8854606C}" type="TxLink">
            <a:rPr lang="en-US" sz="20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marL="0" indent="0" algn="ctr"/>
            <a:t>5.53</a:t>
          </a:fld>
          <a:endParaRPr lang="en-CA" sz="20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22</xdr:col>
      <xdr:colOff>243418</xdr:colOff>
      <xdr:row>1</xdr:row>
      <xdr:rowOff>158749</xdr:rowOff>
    </xdr:from>
    <xdr:to>
      <xdr:col>27</xdr:col>
      <xdr:colOff>307977</xdr:colOff>
      <xdr:row>7</xdr:row>
      <xdr:rowOff>0</xdr:rowOff>
    </xdr:to>
    <xdr:sp macro="" textlink="'Pivot tables'!M4">
      <xdr:nvSpPr>
        <xdr:cNvPr id="21" name="Rectangle: Rounded Corners 20">
          <a:extLst>
            <a:ext uri="{FF2B5EF4-FFF2-40B4-BE49-F238E27FC236}">
              <a16:creationId xmlns:a16="http://schemas.microsoft.com/office/drawing/2014/main" id="{10568CFF-F135-43CB-B4F8-B7D40F6774C7}"/>
            </a:ext>
          </a:extLst>
        </xdr:cNvPr>
        <xdr:cNvSpPr/>
      </xdr:nvSpPr>
      <xdr:spPr>
        <a:xfrm>
          <a:off x="13747751" y="349249"/>
          <a:ext cx="3133726" cy="98425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0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Average Spend</a:t>
          </a:r>
        </a:p>
        <a:p>
          <a:pPr marL="0" indent="0" algn="ctr"/>
          <a:fld id="{3FFA935C-C66E-4AAA-8FC3-4BCFDA8CA1CF}" type="TxLink">
            <a:rPr lang="en-US" sz="20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marL="0" indent="0" algn="ctr"/>
            <a:t>$3,521</a:t>
          </a:fld>
          <a:endParaRPr lang="en-CA" sz="20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1</xdr:col>
      <xdr:colOff>550335</xdr:colOff>
      <xdr:row>1</xdr:row>
      <xdr:rowOff>169333</xdr:rowOff>
    </xdr:from>
    <xdr:to>
      <xdr:col>3</xdr:col>
      <xdr:colOff>10583</xdr:colOff>
      <xdr:row>6</xdr:row>
      <xdr:rowOff>84667</xdr:rowOff>
    </xdr:to>
    <xdr:pic>
      <xdr:nvPicPr>
        <xdr:cNvPr id="24" name="Picture 23">
          <a:extLst>
            <a:ext uri="{FF2B5EF4-FFF2-40B4-BE49-F238E27FC236}">
              <a16:creationId xmlns:a16="http://schemas.microsoft.com/office/drawing/2014/main" id="{D2A9F878-1954-49BA-83EE-A1277965D46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64168" y="359833"/>
          <a:ext cx="687915" cy="867834"/>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zoma Okonyia" refreshedDate="45733.488801157408" backgroundQuery="1" createdVersion="8" refreshedVersion="8" minRefreshableVersion="3" recordCount="0" supportSubquery="1" supportAdvancedDrill="1" xr:uid="{18E5D75B-DB4F-4BB6-A16E-A0B7D89DBEA3}">
  <cacheSource type="external" connectionId="5"/>
  <cacheFields count="3">
    <cacheField name="[products].[Product_Name].[Product_Name]" caption="Product_Name" numFmtId="0" hierarchy="28" level="1">
      <sharedItems count="5">
        <s v="Deserunt Box"/>
        <s v="Dolores Gift"/>
        <s v="Harum Pack"/>
        <s v="Magnam Set"/>
        <s v="Quia Gift"/>
      </sharedItems>
    </cacheField>
    <cacheField name="[Measures].[Sum of revenue]" caption="Sum of revenue" numFmtId="0" hierarchy="34" level="32767"/>
    <cacheField name="[products].[Category].[Category]" caption="Category" numFmtId="0" hierarchy="29" level="1">
      <sharedItems count="7">
        <s v="Cake"/>
        <s v="Colors"/>
        <s v="Mugs"/>
        <s v="Plants"/>
        <s v="Raksha Bandhan"/>
        <s v="Soft Toys"/>
        <s v="Sweets"/>
      </sharedItems>
    </cacheField>
  </cacheFields>
  <cacheHierarchies count="4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130" unbalanced="0"/>
    <cacheHierarchy uniqueName="[orders].[Days]" caption="Days" attribute="1" defaultMemberUniqueName="[orders].[Days].[All]" allUniqueName="[orders].[Days].[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Avg del days]" caption="Avg del days" attribute="1" defaultMemberUniqueName="[orders].[Avg del days].[All]" allUniqueName="[orders].[Avg del days].[All]" dimensionUniqueName="[orders]" displayFolder="" count="2" memberValueDatatype="5" unbalanced="0"/>
    <cacheHierarchy uniqueName="[orders].[price]" caption="price" attribute="1" defaultMemberUniqueName="[orders].[price].[All]" allUniqueName="[orders].[price].[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Day name (Order_date)]" caption="Day name (Order_date)" attribute="1" defaultMemberUniqueName="[orders].[Day name (Order_date)].[All]" allUniqueName="[orders].[Day name (Order_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Avg del days]" caption="Sum of Avg del days" measure="1" displayFolder="" measureGroup="orders" count="0">
      <extLst>
        <ext xmlns:x15="http://schemas.microsoft.com/office/spreadsheetml/2010/11/main" uri="{B97F6D7D-B522-45F9-BDA1-12C45D357490}">
          <x15:cacheHierarchy aggregatedColumn="23"/>
        </ext>
      </extLst>
    </cacheHierarchy>
    <cacheHierarchy uniqueName="[Measures].[Average of Avg del days]" caption="Average of Avg del days" measure="1" displayFolder="" measureGroup="orders"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Sum of price]" caption="Sum of price" measure="1" displayFolder="" measureGroup="orders" count="0">
      <extLst>
        <ext xmlns:x15="http://schemas.microsoft.com/office/spreadsheetml/2010/11/main" uri="{B97F6D7D-B522-45F9-BDA1-12C45D357490}">
          <x15:cacheHierarchy aggregatedColumn="24"/>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19"/>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0"/>
        </ext>
      </extLst>
    </cacheHierarchy>
    <cacheHierarchy uniqueName="[Measures].[Average of Days]" caption="Average of Days" measure="1" displayFolder="" measureGroup="orders"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_sales_rev]" caption="total_sales_rev"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zoma Okonyia" refreshedDate="45733.488801504631" backgroundQuery="1" createdVersion="8" refreshedVersion="8" minRefreshableVersion="3" recordCount="0" supportSubquery="1" supportAdvancedDrill="1" xr:uid="{308E04D6-151A-471C-ACCA-9DBC65C17B1E}">
  <cacheSource type="external" connectionId="5"/>
  <cacheFields count="1">
    <cacheField name="[Measures].[Average of Days]" caption="Average of Days" numFmtId="0" hierarchy="39" level="32767"/>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Avg del days]" caption="Avg del days" attribute="1" defaultMemberUniqueName="[orders].[Avg del days].[All]" allUniqueName="[orders].[Avg del days].[All]" dimensionUniqueName="[orders]" displayFolder="" count="0" memberValueDatatype="5" unbalanced="0"/>
    <cacheHierarchy uniqueName="[orders].[price]" caption="price" attribute="1" defaultMemberUniqueName="[orders].[price].[All]" allUniqueName="[orders].[pric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Avg del days]" caption="Sum of Avg del days" measure="1" displayFolder="" measureGroup="orders" count="0">
      <extLst>
        <ext xmlns:x15="http://schemas.microsoft.com/office/spreadsheetml/2010/11/main" uri="{B97F6D7D-B522-45F9-BDA1-12C45D357490}">
          <x15:cacheHierarchy aggregatedColumn="23"/>
        </ext>
      </extLst>
    </cacheHierarchy>
    <cacheHierarchy uniqueName="[Measures].[Average of Avg del days]" caption="Average of Avg del days" measure="1" displayFolder="" measureGroup="orders"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Sum of price]" caption="Sum of price" measure="1" displayFolder="" measureGroup="orders" count="0">
      <extLst>
        <ext xmlns:x15="http://schemas.microsoft.com/office/spreadsheetml/2010/11/main" uri="{B97F6D7D-B522-45F9-BDA1-12C45D357490}">
          <x15:cacheHierarchy aggregatedColumn="24"/>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19"/>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0"/>
        </ext>
      </extLst>
    </cacheHierarchy>
    <cacheHierarchy uniqueName="[Measures].[Average of Days]" caption="Average of Days" measure="1" displayFolder="" measureGroup="orders" count="0" oneField="1">
      <fieldsUsage count="1">
        <fieldUsage x="0"/>
      </fieldsUsage>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_sales_rev]" caption="total_sales_rev"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zoma Okonyia" refreshedDate="45733.488802199077" backgroundQuery="1" createdVersion="8" refreshedVersion="8" minRefreshableVersion="3" recordCount="0" supportSubquery="1" supportAdvancedDrill="1" xr:uid="{4FB13A73-6A91-40C9-8C33-5199F820E1BA}">
  <cacheSource type="external" connectionId="5"/>
  <cacheFields count="2">
    <cacheField name="[Measures].[Sum of revenue]" caption="Sum of revenue" numFmtId="0" hierarchy="34" level="32767"/>
    <cacheField name="[orders].[Month Name].[Month Name]" caption="Month Name" numFmtId="0" hierarchy="17" level="1">
      <sharedItems count="12">
        <s v="April"/>
        <s v="August"/>
        <s v="December"/>
        <s v="February"/>
        <s v="January"/>
        <s v="July"/>
        <s v="June"/>
        <s v="March"/>
        <s v="May"/>
        <s v="November"/>
        <s v="October"/>
        <s v="September"/>
      </sharedItems>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Avg del days]" caption="Avg del days" attribute="1" defaultMemberUniqueName="[orders].[Avg del days].[All]" allUniqueName="[orders].[Avg del days].[All]" dimensionUniqueName="[orders]" displayFolder="" count="0" memberValueDatatype="5" unbalanced="0"/>
    <cacheHierarchy uniqueName="[orders].[price]" caption="price" attribute="1" defaultMemberUniqueName="[orders].[price].[All]" allUniqueName="[orders].[pric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Avg del days]" caption="Sum of Avg del days" measure="1" displayFolder="" measureGroup="orders" count="0">
      <extLst>
        <ext xmlns:x15="http://schemas.microsoft.com/office/spreadsheetml/2010/11/main" uri="{B97F6D7D-B522-45F9-BDA1-12C45D357490}">
          <x15:cacheHierarchy aggregatedColumn="23"/>
        </ext>
      </extLst>
    </cacheHierarchy>
    <cacheHierarchy uniqueName="[Measures].[Average of Avg del days]" caption="Average of Avg del days" measure="1" displayFolder="" measureGroup="orders"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Sum of price]" caption="Sum of price" measure="1" displayFolder="" measureGroup="orders" count="0">
      <extLst>
        <ext xmlns:x15="http://schemas.microsoft.com/office/spreadsheetml/2010/11/main" uri="{B97F6D7D-B522-45F9-BDA1-12C45D357490}">
          <x15:cacheHierarchy aggregatedColumn="24"/>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19"/>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0"/>
        </ext>
      </extLst>
    </cacheHierarchy>
    <cacheHierarchy uniqueName="[Measures].[Average of Days]" caption="Average of Days" measure="1" displayFolder="" measureGroup="orders"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_sales_rev]" caption="total_sales_rev"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zoma Okonyia" refreshedDate="45733.488803009262" backgroundQuery="1" createdVersion="8" refreshedVersion="8" minRefreshableVersion="3" recordCount="0" supportSubquery="1" supportAdvancedDrill="1" xr:uid="{6A904F68-4D32-4B77-9F16-292F825F2B8F}">
  <cacheSource type="external" connectionId="5"/>
  <cacheFields count="2">
    <cacheField name="[products].[Product_Name].[Product_Name]" caption="Product_Name" numFmtId="0" hierarchy="28" level="1">
      <sharedItems count="5">
        <s v="Deserunt Box"/>
        <s v="Dolores Gift"/>
        <s v="Harum Pack"/>
        <s v="Magnam Set"/>
        <s v="Quia Gift"/>
      </sharedItems>
    </cacheField>
    <cacheField name="[Measures].[Sum of revenue]" caption="Sum of revenue" numFmtId="0" hierarchy="34" level="32767"/>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Avg del days]" caption="Avg del days" attribute="1" defaultMemberUniqueName="[orders].[Avg del days].[All]" allUniqueName="[orders].[Avg del days].[All]" dimensionUniqueName="[orders]" displayFolder="" count="0" memberValueDatatype="5" unbalanced="0"/>
    <cacheHierarchy uniqueName="[orders].[price]" caption="price" attribute="1" defaultMemberUniqueName="[orders].[price].[All]" allUniqueName="[orders].[pric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Avg del days]" caption="Sum of Avg del days" measure="1" displayFolder="" measureGroup="orders" count="0">
      <extLst>
        <ext xmlns:x15="http://schemas.microsoft.com/office/spreadsheetml/2010/11/main" uri="{B97F6D7D-B522-45F9-BDA1-12C45D357490}">
          <x15:cacheHierarchy aggregatedColumn="23"/>
        </ext>
      </extLst>
    </cacheHierarchy>
    <cacheHierarchy uniqueName="[Measures].[Average of Avg del days]" caption="Average of Avg del days" measure="1" displayFolder="" measureGroup="orders"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Sum of price]" caption="Sum of price" measure="1" displayFolder="" measureGroup="orders" count="0">
      <extLst>
        <ext xmlns:x15="http://schemas.microsoft.com/office/spreadsheetml/2010/11/main" uri="{B97F6D7D-B522-45F9-BDA1-12C45D357490}">
          <x15:cacheHierarchy aggregatedColumn="24"/>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19"/>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0"/>
        </ext>
      </extLst>
    </cacheHierarchy>
    <cacheHierarchy uniqueName="[Measures].[Average of Days]" caption="Average of Days" measure="1" displayFolder="" measureGroup="orders"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_sales_rev]" caption="total_sales_rev"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zoma Okonyia" refreshedDate="45733.488803125001" backgroundQuery="1" createdVersion="8" refreshedVersion="8" minRefreshableVersion="3" recordCount="0" supportSubquery="1" supportAdvancedDrill="1" xr:uid="{70252D07-7CC7-417D-8651-6311E02B1FA3}">
  <cacheSource type="external" connectionId="5"/>
  <cacheFields count="2">
    <cacheField name="[customers].[Name].[Name]" caption="Name" numFmtId="0" hierarchy="1" level="1">
      <sharedItems count="10">
        <s v="Akarsh Ramesh"/>
        <s v="Anahita Shankar"/>
        <s v="Aradhya Batta"/>
        <s v="Divit Mahajan"/>
        <s v="Jhanvi Chowdhury"/>
        <s v="Mannat Anand"/>
        <s v="Ranbir Loyal"/>
        <s v="Samaira Ganesh"/>
        <s v="Seher Mann"/>
        <s v="Veer Ray"/>
      </sharedItems>
    </cacheField>
    <cacheField name="[Measures].[Average of revenue]" caption="Average of revenue" numFmtId="0" hierarchy="40" level="32767"/>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2" memberValueDatatype="130" unbalanced="0">
      <fieldsUsage count="2">
        <fieldUsage x="-1"/>
        <fieldUsage x="0"/>
      </fieldsUsage>
    </cacheHierarchy>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Avg del days]" caption="Avg del days" attribute="1" defaultMemberUniqueName="[orders].[Avg del days].[All]" allUniqueName="[orders].[Avg del days].[All]" dimensionUniqueName="[orders]" displayFolder="" count="0" memberValueDatatype="5" unbalanced="0"/>
    <cacheHierarchy uniqueName="[orders].[price]" caption="price" attribute="1" defaultMemberUniqueName="[orders].[price].[All]" allUniqueName="[orders].[pric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Avg del days]" caption="Sum of Avg del days" measure="1" displayFolder="" measureGroup="orders" count="0">
      <extLst>
        <ext xmlns:x15="http://schemas.microsoft.com/office/spreadsheetml/2010/11/main" uri="{B97F6D7D-B522-45F9-BDA1-12C45D357490}">
          <x15:cacheHierarchy aggregatedColumn="23"/>
        </ext>
      </extLst>
    </cacheHierarchy>
    <cacheHierarchy uniqueName="[Measures].[Average of Avg del days]" caption="Average of Avg del days" measure="1" displayFolder="" measureGroup="orders"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Sum of price]" caption="Sum of price" measure="1" displayFolder="" measureGroup="orders" count="0">
      <extLst>
        <ext xmlns:x15="http://schemas.microsoft.com/office/spreadsheetml/2010/11/main" uri="{B97F6D7D-B522-45F9-BDA1-12C45D357490}">
          <x15:cacheHierarchy aggregatedColumn="24"/>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19"/>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0"/>
        </ext>
      </extLst>
    </cacheHierarchy>
    <cacheHierarchy uniqueName="[Measures].[Average of Days]" caption="Average of Days" measure="1" displayFolder="" measureGroup="orders"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oneField="1">
      <fieldsUsage count="1">
        <fieldUsage x="1"/>
      </fieldsUsage>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_sales_rev]" caption="total_sales_rev"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zoma Okonyia" refreshedDate="45733.488803935186" backgroundQuery="1" createdVersion="8" refreshedVersion="8" minRefreshableVersion="3" recordCount="0" supportSubquery="1" supportAdvancedDrill="1" xr:uid="{05F6211E-89F6-4310-B0F2-9DF1A920443C}">
  <cacheSource type="external" connectionId="5"/>
  <cacheFields count="2">
    <cacheField name="[customers].[Name].[Name]" caption="Name" numFmtId="0" hierarchy="1" level="1">
      <sharedItems count="10">
        <s v="Akarsh Ramesh"/>
        <s v="Anahita Shankar"/>
        <s v="Aradhya Batta"/>
        <s v="Divit Mahajan"/>
        <s v="Jhanvi Chowdhury"/>
        <s v="Mannat Anand"/>
        <s v="Ranbir Loyal"/>
        <s v="Samaira Ganesh"/>
        <s v="Seher Mann"/>
        <s v="Veer Ray"/>
      </sharedItems>
    </cacheField>
    <cacheField name="[Measures].[Sum of revenue]" caption="Sum of revenue" numFmtId="0" hierarchy="34" level="32767"/>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2" memberValueDatatype="130" unbalanced="0">
      <fieldsUsage count="2">
        <fieldUsage x="-1"/>
        <fieldUsage x="0"/>
      </fieldsUsage>
    </cacheHierarchy>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Avg del days]" caption="Avg del days" attribute="1" defaultMemberUniqueName="[orders].[Avg del days].[All]" allUniqueName="[orders].[Avg del days].[All]" dimensionUniqueName="[orders]" displayFolder="" count="0" memberValueDatatype="5" unbalanced="0"/>
    <cacheHierarchy uniqueName="[orders].[price]" caption="price" attribute="1" defaultMemberUniqueName="[orders].[price].[All]" allUniqueName="[orders].[pric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Avg del days]" caption="Sum of Avg del days" measure="1" displayFolder="" measureGroup="orders" count="0">
      <extLst>
        <ext xmlns:x15="http://schemas.microsoft.com/office/spreadsheetml/2010/11/main" uri="{B97F6D7D-B522-45F9-BDA1-12C45D357490}">
          <x15:cacheHierarchy aggregatedColumn="23"/>
        </ext>
      </extLst>
    </cacheHierarchy>
    <cacheHierarchy uniqueName="[Measures].[Average of Avg del days]" caption="Average of Avg del days" measure="1" displayFolder="" measureGroup="orders"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Sum of price]" caption="Sum of price" measure="1" displayFolder="" measureGroup="orders" count="0">
      <extLst>
        <ext xmlns:x15="http://schemas.microsoft.com/office/spreadsheetml/2010/11/main" uri="{B97F6D7D-B522-45F9-BDA1-12C45D357490}">
          <x15:cacheHierarchy aggregatedColumn="24"/>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19"/>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0"/>
        </ext>
      </extLst>
    </cacheHierarchy>
    <cacheHierarchy uniqueName="[Measures].[Average of Days]" caption="Average of Days" measure="1" displayFolder="" measureGroup="orders"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_sales_rev]" caption="total_sales_rev"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zoma Okonyia" refreshedDate="45733.488804629633" backgroundQuery="1" createdVersion="8" refreshedVersion="8" minRefreshableVersion="3" recordCount="0" supportSubquery="1" supportAdvancedDrill="1" xr:uid="{785A3E2F-5E56-4121-81FF-2F69A83C3527}">
  <cacheSource type="external" connectionId="5"/>
  <cacheFields count="3">
    <cacheField name="[customers].[Name].[Name]" caption="Name" numFmtId="0" hierarchy="1" level="1">
      <sharedItems count="10">
        <s v="Akarsh Ramesh"/>
        <s v="Anahita Shankar"/>
        <s v="Aradhya Batta"/>
        <s v="Divit Mahajan"/>
        <s v="Jhanvi Chowdhury"/>
        <s v="Mannat Anand"/>
        <s v="Ranbir Loyal"/>
        <s v="Samaira Ganesh"/>
        <s v="Seher Mann"/>
        <s v="Veer Ray"/>
      </sharedItems>
    </cacheField>
    <cacheField name="[customers].[City].[City]" caption="City" numFmtId="0" hierarchy="2" level="1">
      <sharedItems count="10">
        <s v="Agra"/>
        <s v="Bhatpara"/>
        <s v="Bidhannagar"/>
        <s v="Dhanbad"/>
        <s v="Dibrugarh"/>
        <s v="Haridwar"/>
        <s v="Imphal"/>
        <s v="Kavali"/>
        <s v="Machilipatnam"/>
        <s v="North Dumdum"/>
      </sharedItems>
    </cacheField>
    <cacheField name="[Measures].[Sum of revenue]" caption="Sum of revenue" numFmtId="0" hierarchy="34" level="32767"/>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2" memberValueDatatype="130" unbalanced="0">
      <fieldsUsage count="2">
        <fieldUsage x="-1"/>
        <fieldUsage x="0"/>
      </fieldsUsage>
    </cacheHierarchy>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Avg del days]" caption="Avg del days" attribute="1" defaultMemberUniqueName="[orders].[Avg del days].[All]" allUniqueName="[orders].[Avg del days].[All]" dimensionUniqueName="[orders]" displayFolder="" count="0" memberValueDatatype="5" unbalanced="0"/>
    <cacheHierarchy uniqueName="[orders].[price]" caption="price" attribute="1" defaultMemberUniqueName="[orders].[price].[All]" allUniqueName="[orders].[pric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Avg del days]" caption="Sum of Avg del days" measure="1" displayFolder="" measureGroup="orders" count="0">
      <extLst>
        <ext xmlns:x15="http://schemas.microsoft.com/office/spreadsheetml/2010/11/main" uri="{B97F6D7D-B522-45F9-BDA1-12C45D357490}">
          <x15:cacheHierarchy aggregatedColumn="23"/>
        </ext>
      </extLst>
    </cacheHierarchy>
    <cacheHierarchy uniqueName="[Measures].[Average of Avg del days]" caption="Average of Avg del days" measure="1" displayFolder="" measureGroup="orders"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oneField="1">
      <fieldsUsage count="1">
        <fieldUsage x="2"/>
      </fieldsUsage>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Sum of price]" caption="Sum of price" measure="1" displayFolder="" measureGroup="orders" count="0">
      <extLst>
        <ext xmlns:x15="http://schemas.microsoft.com/office/spreadsheetml/2010/11/main" uri="{B97F6D7D-B522-45F9-BDA1-12C45D357490}">
          <x15:cacheHierarchy aggregatedColumn="24"/>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19"/>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0"/>
        </ext>
      </extLst>
    </cacheHierarchy>
    <cacheHierarchy uniqueName="[Measures].[Average of Days]" caption="Average of Days" measure="1" displayFolder="" measureGroup="orders"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_sales_rev]" caption="total_sales_rev"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zoma Okonyia" refreshedDate="45733.488805324072" backgroundQuery="1" createdVersion="8" refreshedVersion="8" minRefreshableVersion="3" recordCount="0" supportSubquery="1" supportAdvancedDrill="1" xr:uid="{ABE34ADD-7574-430C-8DB5-2260F45AF50E}">
  <cacheSource type="external" connectionId="5"/>
  <cacheFields count="2">
    <cacheField name="[products].[Occasion].[Occasion]" caption="Occasion" numFmtId="0" hierarchy="31" level="1">
      <sharedItems count="7">
        <s v="All Occasions"/>
        <s v="Anniversary"/>
        <s v="Birthday"/>
        <s v="Diwali"/>
        <s v="Holi"/>
        <s v="Raksha Bandhan"/>
        <s v="Valentine's Day"/>
      </sharedItems>
    </cacheField>
    <cacheField name="[Measures].[Sum of revenue]" caption="Sum of revenue" numFmtId="0" hierarchy="34" level="32767"/>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Avg del days]" caption="Avg del days" attribute="1" defaultMemberUniqueName="[orders].[Avg del days].[All]" allUniqueName="[orders].[Avg del days].[All]" dimensionUniqueName="[orders]" displayFolder="" count="0" memberValueDatatype="5" unbalanced="0"/>
    <cacheHierarchy uniqueName="[orders].[price]" caption="price" attribute="1" defaultMemberUniqueName="[orders].[price].[All]" allUniqueName="[orders].[pric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0"/>
      </fieldsUsage>
    </cacheHierarchy>
    <cacheHierarchy uniqueName="[Measures].[Sum of Avg del days]" caption="Sum of Avg del days" measure="1" displayFolder="" measureGroup="orders" count="0">
      <extLst>
        <ext xmlns:x15="http://schemas.microsoft.com/office/spreadsheetml/2010/11/main" uri="{B97F6D7D-B522-45F9-BDA1-12C45D357490}">
          <x15:cacheHierarchy aggregatedColumn="23"/>
        </ext>
      </extLst>
    </cacheHierarchy>
    <cacheHierarchy uniqueName="[Measures].[Average of Avg del days]" caption="Average of Avg del days" measure="1" displayFolder="" measureGroup="orders"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Sum of price]" caption="Sum of price" measure="1" displayFolder="" measureGroup="orders" count="0">
      <extLst>
        <ext xmlns:x15="http://schemas.microsoft.com/office/spreadsheetml/2010/11/main" uri="{B97F6D7D-B522-45F9-BDA1-12C45D357490}">
          <x15:cacheHierarchy aggregatedColumn="24"/>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19"/>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0"/>
        </ext>
      </extLst>
    </cacheHierarchy>
    <cacheHierarchy uniqueName="[Measures].[Average of Days]" caption="Average of Days" measure="1" displayFolder="" measureGroup="orders"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_sales_rev]" caption="total_sales_rev"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zoma Okonyia" refreshedDate="45733.488806018519" backgroundQuery="1" createdVersion="8" refreshedVersion="8" minRefreshableVersion="3" recordCount="0" supportSubquery="1" supportAdvancedDrill="1" xr:uid="{484B47B6-F182-4840-B9EE-8154E5D8C912}">
  <cacheSource type="external" connectionId="5"/>
  <cacheFields count="2">
    <cacheField name="[products].[Product_Name].[Product_Name]" caption="Product_Name" numFmtId="0" hierarchy="28" level="1">
      <sharedItems count="5">
        <s v="Ad Box"/>
        <s v="Aliquam Box"/>
        <s v="Dignissimos Pack"/>
        <s v="Error Gift"/>
        <s v="Quia Gift"/>
      </sharedItems>
    </cacheField>
    <cacheField name="[Measures].[Sum of Quantity]" caption="Sum of Quantity" numFmtId="0" hierarchy="35" level="32767"/>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Avg del days]" caption="Avg del days" attribute="1" defaultMemberUniqueName="[orders].[Avg del days].[All]" allUniqueName="[orders].[Avg del days].[All]" dimensionUniqueName="[orders]" displayFolder="" count="0" memberValueDatatype="5" unbalanced="0"/>
    <cacheHierarchy uniqueName="[orders].[price]" caption="price" attribute="1" defaultMemberUniqueName="[orders].[price].[All]" allUniqueName="[orders].[pric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Avg del days]" caption="Sum of Avg del days" measure="1" displayFolder="" measureGroup="orders" count="0">
      <extLst>
        <ext xmlns:x15="http://schemas.microsoft.com/office/spreadsheetml/2010/11/main" uri="{B97F6D7D-B522-45F9-BDA1-12C45D357490}">
          <x15:cacheHierarchy aggregatedColumn="23"/>
        </ext>
      </extLst>
    </cacheHierarchy>
    <cacheHierarchy uniqueName="[Measures].[Average of Avg del days]" caption="Average of Avg del days" measure="1" displayFolder="" measureGroup="orders"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oneField="1">
      <fieldsUsage count="1">
        <fieldUsage x="1"/>
      </fieldsUsage>
      <extLst>
        <ext xmlns:x15="http://schemas.microsoft.com/office/spreadsheetml/2010/11/main" uri="{B97F6D7D-B522-45F9-BDA1-12C45D357490}">
          <x15:cacheHierarchy aggregatedColumn="10"/>
        </ext>
      </extLst>
    </cacheHierarchy>
    <cacheHierarchy uniqueName="[Measures].[Sum of price]" caption="Sum of price" measure="1" displayFolder="" measureGroup="orders" count="0">
      <extLst>
        <ext xmlns:x15="http://schemas.microsoft.com/office/spreadsheetml/2010/11/main" uri="{B97F6D7D-B522-45F9-BDA1-12C45D357490}">
          <x15:cacheHierarchy aggregatedColumn="24"/>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19"/>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0"/>
        </ext>
      </extLst>
    </cacheHierarchy>
    <cacheHierarchy uniqueName="[Measures].[Average of Days]" caption="Average of Days" measure="1" displayFolder="" measureGroup="orders"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_sales_rev]" caption="total_sales_rev"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zoma Okonyia" refreshedDate="45733.488806828704" backgroundQuery="1" createdVersion="8" refreshedVersion="8" minRefreshableVersion="3" recordCount="0" supportSubquery="1" supportAdvancedDrill="1" xr:uid="{06AD97CC-9418-4263-A3BA-A580458C4FE8}">
  <cacheSource type="external" connectionId="5"/>
  <cacheFields count="3">
    <cacheField name="[products].[Product_Name].[Product_Name]" caption="Product_Name" numFmtId="0" hierarchy="28" level="1">
      <sharedItems count="5">
        <s v="Ad Box"/>
        <s v="Aliquam Box"/>
        <s v="Dignissimos Pack"/>
        <s v="Error Gift"/>
        <s v="Quia Gift"/>
      </sharedItems>
    </cacheField>
    <cacheField name="[orders].[Day name (Order_date)].[Day name (Order_date)]" caption="Day name (Order_date)" numFmtId="0" hierarchy="26" level="1">
      <sharedItems count="7">
        <s v="Friday"/>
        <s v="Monday"/>
        <s v="Saturday"/>
        <s v="Sunday"/>
        <s v="Thursday"/>
        <s v="Tuesday"/>
        <s v="Wednesday"/>
      </sharedItems>
    </cacheField>
    <cacheField name="[Measures].[Count of Order_ID]" caption="Count of Order_ID" numFmtId="0" hierarchy="42" level="32767"/>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Avg del days]" caption="Avg del days" attribute="1" defaultMemberUniqueName="[orders].[Avg del days].[All]" allUniqueName="[orders].[Avg del days].[All]" dimensionUniqueName="[orders]" displayFolder="" count="0" memberValueDatatype="5" unbalanced="0"/>
    <cacheHierarchy uniqueName="[orders].[price]" caption="price" attribute="1" defaultMemberUniqueName="[orders].[price].[All]" allUniqueName="[orders].[pric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_date)]" caption="Day name (Order_date)" attribute="1" defaultMemberUniqueName="[orders].[Day name (Order_date)].[All]" allUniqueName="[orders].[Day name (Order_date)].[All]" dimensionUniqueName="[orders]" displayFolder="" count="2" memberValueDatatype="130" unbalanced="0">
      <fieldsUsage count="2">
        <fieldUsage x="-1"/>
        <fieldUsage x="1"/>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Avg del days]" caption="Sum of Avg del days" measure="1" displayFolder="" measureGroup="orders" count="0">
      <extLst>
        <ext xmlns:x15="http://schemas.microsoft.com/office/spreadsheetml/2010/11/main" uri="{B97F6D7D-B522-45F9-BDA1-12C45D357490}">
          <x15:cacheHierarchy aggregatedColumn="23"/>
        </ext>
      </extLst>
    </cacheHierarchy>
    <cacheHierarchy uniqueName="[Measures].[Average of Avg del days]" caption="Average of Avg del days" measure="1" displayFolder="" measureGroup="orders"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Sum of price]" caption="Sum of price" measure="1" displayFolder="" measureGroup="orders" count="0">
      <extLst>
        <ext xmlns:x15="http://schemas.microsoft.com/office/spreadsheetml/2010/11/main" uri="{B97F6D7D-B522-45F9-BDA1-12C45D357490}">
          <x15:cacheHierarchy aggregatedColumn="24"/>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19"/>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0"/>
        </ext>
      </extLst>
    </cacheHierarchy>
    <cacheHierarchy uniqueName="[Measures].[Average of Days]" caption="Average of Days" measure="1" displayFolder="" measureGroup="orders"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7"/>
        </ext>
      </extLst>
    </cacheHierarchy>
    <cacheHierarchy uniqueName="[Measures].[total_sales_rev]" caption="total_sales_rev"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zoma Okonyia" refreshedDate="45733.48880752315" backgroundQuery="1" createdVersion="8" refreshedVersion="8" minRefreshableVersion="3" recordCount="0" supportSubquery="1" supportAdvancedDrill="1" xr:uid="{B11599C4-B6BD-401E-B9E7-4A557FB8C18A}">
  <cacheSource type="external" connectionId="5"/>
  <cacheFields count="3">
    <cacheField name="[products].[Product_Name].[Product_Name]" caption="Product_Name" numFmtId="0" hierarchy="28" level="1">
      <sharedItems count="5">
        <s v="Ad Box"/>
        <s v="Aliquam Box"/>
        <s v="Dignissimos Pack"/>
        <s v="Error Gift"/>
        <s v="Quia Gift"/>
      </sharedItems>
    </cacheField>
    <cacheField name="[orders].[Hour(order time)].[Hour(order time)]" caption="Hour(order time)"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 name="[Measures].[Sum of revenue]" caption="Sum of revenue" numFmtId="0" hierarchy="34" level="32767"/>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1"/>
      </fieldsUsage>
    </cacheHierarchy>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Avg del days]" caption="Avg del days" attribute="1" defaultMemberUniqueName="[orders].[Avg del days].[All]" allUniqueName="[orders].[Avg del days].[All]" dimensionUniqueName="[orders]" displayFolder="" count="0" memberValueDatatype="5" unbalanced="0"/>
    <cacheHierarchy uniqueName="[orders].[price]" caption="price" attribute="1" defaultMemberUniqueName="[orders].[price].[All]" allUniqueName="[orders].[pric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Avg del days]" caption="Sum of Avg del days" measure="1" displayFolder="" measureGroup="orders" count="0">
      <extLst>
        <ext xmlns:x15="http://schemas.microsoft.com/office/spreadsheetml/2010/11/main" uri="{B97F6D7D-B522-45F9-BDA1-12C45D357490}">
          <x15:cacheHierarchy aggregatedColumn="23"/>
        </ext>
      </extLst>
    </cacheHierarchy>
    <cacheHierarchy uniqueName="[Measures].[Average of Avg del days]" caption="Average of Avg del days" measure="1" displayFolder="" measureGroup="orders"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oneField="1">
      <fieldsUsage count="1">
        <fieldUsage x="2"/>
      </fieldsUsage>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Sum of price]" caption="Sum of price" measure="1" displayFolder="" measureGroup="orders" count="0">
      <extLst>
        <ext xmlns:x15="http://schemas.microsoft.com/office/spreadsheetml/2010/11/main" uri="{B97F6D7D-B522-45F9-BDA1-12C45D357490}">
          <x15:cacheHierarchy aggregatedColumn="24"/>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19"/>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0"/>
        </ext>
      </extLst>
    </cacheHierarchy>
    <cacheHierarchy uniqueName="[Measures].[Average of Days]" caption="Average of Days" measure="1" displayFolder="" measureGroup="orders"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_sales_rev]" caption="total_sales_rev"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zoma Okonyia" refreshedDate="45733.488807870373" backgroundQuery="1" createdVersion="8" refreshedVersion="8" minRefreshableVersion="3" recordCount="0" supportSubquery="1" supportAdvancedDrill="1" xr:uid="{7F0406EF-1E00-4C9E-96D2-173797A36EBD}">
  <cacheSource type="external" connectionId="5"/>
  <cacheFields count="1">
    <cacheField name="[Measures].[Count of Order_ID]" caption="Count of Order_ID" numFmtId="0" hierarchy="42" level="32767"/>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Avg del days]" caption="Avg del days" attribute="1" defaultMemberUniqueName="[orders].[Avg del days].[All]" allUniqueName="[orders].[Avg del days].[All]" dimensionUniqueName="[orders]" displayFolder="" count="0" memberValueDatatype="5" unbalanced="0"/>
    <cacheHierarchy uniqueName="[orders].[price]" caption="price" attribute="1" defaultMemberUniqueName="[orders].[price].[All]" allUniqueName="[orders].[pric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Avg del days]" caption="Sum of Avg del days" measure="1" displayFolder="" measureGroup="orders" count="0">
      <extLst>
        <ext xmlns:x15="http://schemas.microsoft.com/office/spreadsheetml/2010/11/main" uri="{B97F6D7D-B522-45F9-BDA1-12C45D357490}">
          <x15:cacheHierarchy aggregatedColumn="23"/>
        </ext>
      </extLst>
    </cacheHierarchy>
    <cacheHierarchy uniqueName="[Measures].[Average of Avg del days]" caption="Average of Avg del days" measure="1" displayFolder="" measureGroup="orders"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Sum of price]" caption="Sum of price" measure="1" displayFolder="" measureGroup="orders" count="0">
      <extLst>
        <ext xmlns:x15="http://schemas.microsoft.com/office/spreadsheetml/2010/11/main" uri="{B97F6D7D-B522-45F9-BDA1-12C45D357490}">
          <x15:cacheHierarchy aggregatedColumn="24"/>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19"/>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0"/>
        </ext>
      </extLst>
    </cacheHierarchy>
    <cacheHierarchy uniqueName="[Measures].[Average of Days]" caption="Average of Days" measure="1" displayFolder="" measureGroup="orders"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fieldsUsage count="1">
        <fieldUsage x="0"/>
      </fieldsUsage>
      <extLst>
        <ext xmlns:x15="http://schemas.microsoft.com/office/spreadsheetml/2010/11/main" uri="{B97F6D7D-B522-45F9-BDA1-12C45D357490}">
          <x15:cacheHierarchy aggregatedColumn="7"/>
        </ext>
      </extLst>
    </cacheHierarchy>
    <cacheHierarchy uniqueName="[Measures].[total_sales_rev]" caption="total_sales_rev"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zoma Okonyia" refreshedDate="45733.488808217589" backgroundQuery="1" createdVersion="8" refreshedVersion="8" minRefreshableVersion="3" recordCount="0" supportSubquery="1" supportAdvancedDrill="1" xr:uid="{52F8B482-FCB1-4EDB-9CA9-2E1524FFF11E}">
  <cacheSource type="external" connectionId="5"/>
  <cacheFields count="1">
    <cacheField name="[Measures].[total_sales_rev]" caption="total_sales_rev" numFmtId="0" hierarchy="43" level="32767"/>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Avg del days]" caption="Avg del days" attribute="1" defaultMemberUniqueName="[orders].[Avg del days].[All]" allUniqueName="[orders].[Avg del days].[All]" dimensionUniqueName="[orders]" displayFolder="" count="0" memberValueDatatype="5" unbalanced="0"/>
    <cacheHierarchy uniqueName="[orders].[price]" caption="price" attribute="1" defaultMemberUniqueName="[orders].[price].[All]" allUniqueName="[orders].[pric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Avg del days]" caption="Sum of Avg del days" measure="1" displayFolder="" measureGroup="orders" count="0">
      <extLst>
        <ext xmlns:x15="http://schemas.microsoft.com/office/spreadsheetml/2010/11/main" uri="{B97F6D7D-B522-45F9-BDA1-12C45D357490}">
          <x15:cacheHierarchy aggregatedColumn="23"/>
        </ext>
      </extLst>
    </cacheHierarchy>
    <cacheHierarchy uniqueName="[Measures].[Average of Avg del days]" caption="Average of Avg del days" measure="1" displayFolder="" measureGroup="orders"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Sum of price]" caption="Sum of price" measure="1" displayFolder="" measureGroup="orders" count="0">
      <extLst>
        <ext xmlns:x15="http://schemas.microsoft.com/office/spreadsheetml/2010/11/main" uri="{B97F6D7D-B522-45F9-BDA1-12C45D357490}">
          <x15:cacheHierarchy aggregatedColumn="24"/>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19"/>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0"/>
        </ext>
      </extLst>
    </cacheHierarchy>
    <cacheHierarchy uniqueName="[Measures].[Average of Days]" caption="Average of Days" measure="1" displayFolder="" measureGroup="orders"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_sales_rev]" caption="total_sales_rev" measure="1" displayFolder="" measureGroup="orders" count="0" oneField="1">
      <fieldsUsage count="1">
        <fieldUsage x="0"/>
      </fieldsUsage>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zoma Okonyia" refreshedDate="45733.359865509257" backgroundQuery="1" createdVersion="3" refreshedVersion="8" minRefreshableVersion="3" recordCount="0" supportSubquery="1" supportAdvancedDrill="1" xr:uid="{E0637B1A-618F-4F7B-A837-B9F98CBAFDDD}">
  <cacheSource type="external" connectionId="5">
    <extLst>
      <ext xmlns:x14="http://schemas.microsoft.com/office/spreadsheetml/2009/9/main" uri="{F057638F-6D5F-4e77-A914-E7F072B9BCA8}">
        <x14:sourceConnection name="ThisWorkbookDataModel"/>
      </ext>
    </extLst>
  </cacheSource>
  <cacheFields count="0"/>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Avg del days]" caption="Avg del days" attribute="1" defaultMemberUniqueName="[orders].[Avg del days].[All]" allUniqueName="[orders].[Avg del days].[All]" dimensionUniqueName="[orders]" displayFolder="" count="0" memberValueDatatype="5" unbalanced="0"/>
    <cacheHierarchy uniqueName="[orders].[price]" caption="price" attribute="1" defaultMemberUniqueName="[orders].[price].[All]" allUniqueName="[orders].[pric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Avg del days]" caption="Sum of Avg del days" measure="1" displayFolder="" measureGroup="orders" count="0">
      <extLst>
        <ext xmlns:x15="http://schemas.microsoft.com/office/spreadsheetml/2010/11/main" uri="{B97F6D7D-B522-45F9-BDA1-12C45D357490}">
          <x15:cacheHierarchy aggregatedColumn="23"/>
        </ext>
      </extLst>
    </cacheHierarchy>
    <cacheHierarchy uniqueName="[Measures].[Average of Avg del days]" caption="Average of Avg del days" measure="1" displayFolder="" measureGroup="orders"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Sum of price]" caption="Sum of price" measure="1" displayFolder="" measureGroup="orders" count="0">
      <extLst>
        <ext xmlns:x15="http://schemas.microsoft.com/office/spreadsheetml/2010/11/main" uri="{B97F6D7D-B522-45F9-BDA1-12C45D357490}">
          <x15:cacheHierarchy aggregatedColumn="24"/>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19"/>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0"/>
        </ext>
      </extLst>
    </cacheHierarchy>
    <cacheHierarchy uniqueName="[Measures].[Average of Days]" caption="Average of Days" measure="1" displayFolder="" measureGroup="orders"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_sales_rev]" caption="total_sales_rev"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87938916"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zoma Okonyia" refreshedDate="45733.359865972219" backgroundQuery="1" createdVersion="3" refreshedVersion="8" minRefreshableVersion="3" recordCount="0" supportSubquery="1" supportAdvancedDrill="1" xr:uid="{F1E084F1-01A6-45A1-B716-F466C5768F4B}">
  <cacheSource type="external" connectionId="5">
    <extLst>
      <ext xmlns:x14="http://schemas.microsoft.com/office/spreadsheetml/2009/9/main" uri="{F057638F-6D5F-4e77-A914-E7F072B9BCA8}">
        <x14:sourceConnection name="ThisWorkbookDataModel"/>
      </ext>
    </extLst>
  </cacheSource>
  <cacheFields count="0"/>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Avg del days]" caption="Avg del days" attribute="1" defaultMemberUniqueName="[orders].[Avg del days].[All]" allUniqueName="[orders].[Avg del days].[All]" dimensionUniqueName="[orders]" displayFolder="" count="0" memberValueDatatype="5" unbalanced="0"/>
    <cacheHierarchy uniqueName="[orders].[price]" caption="price" attribute="1" defaultMemberUniqueName="[orders].[price].[All]" allUniqueName="[orders].[pric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Avg del days]" caption="Sum of Avg del days" measure="1" displayFolder="" measureGroup="orders" count="0">
      <extLst>
        <ext xmlns:x15="http://schemas.microsoft.com/office/spreadsheetml/2010/11/main" uri="{B97F6D7D-B522-45F9-BDA1-12C45D357490}">
          <x15:cacheHierarchy aggregatedColumn="23"/>
        </ext>
      </extLst>
    </cacheHierarchy>
    <cacheHierarchy uniqueName="[Measures].[Average of Avg del days]" caption="Average of Avg del days" measure="1" displayFolder="" measureGroup="orders"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Sum of price]" caption="Sum of price" measure="1" displayFolder="" measureGroup="orders" count="0">
      <extLst>
        <ext xmlns:x15="http://schemas.microsoft.com/office/spreadsheetml/2010/11/main" uri="{B97F6D7D-B522-45F9-BDA1-12C45D357490}">
          <x15:cacheHierarchy aggregatedColumn="24"/>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19"/>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0"/>
        </ext>
      </extLst>
    </cacheHierarchy>
    <cacheHierarchy uniqueName="[Measures].[Average of Days]" caption="Average of Days" measure="1" displayFolder="" measureGroup="orders"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_sales_rev]" caption="total_sales_rev"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89421964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zoma Okonyia" refreshedDate="45733.37461770833" backgroundQuery="1" createdVersion="3" refreshedVersion="8" minRefreshableVersion="3" recordCount="0" supportSubquery="1" supportAdvancedDrill="1" xr:uid="{87681BB8-3BFF-4D01-A5F0-DE1683F0F423}">
  <cacheSource type="external" connectionId="5">
    <extLst>
      <ext xmlns:x14="http://schemas.microsoft.com/office/spreadsheetml/2009/9/main" uri="{F057638F-6D5F-4e77-A914-E7F072B9BCA8}">
        <x14:sourceConnection name="ThisWorkbookDataModel"/>
      </ext>
    </extLst>
  </cacheSource>
  <cacheFields count="0"/>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Avg del days]" caption="Avg del days" attribute="1" defaultMemberUniqueName="[orders].[Avg del days].[All]" allUniqueName="[orders].[Avg del days].[All]" dimensionUniqueName="[orders]" displayFolder="" count="0" memberValueDatatype="5" unbalanced="0"/>
    <cacheHierarchy uniqueName="[orders].[price]" caption="price" attribute="1" defaultMemberUniqueName="[orders].[price].[All]" allUniqueName="[orders].[pric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Avg del days]" caption="Sum of Avg del days" measure="1" displayFolder="" measureGroup="orders" count="0">
      <extLst>
        <ext xmlns:x15="http://schemas.microsoft.com/office/spreadsheetml/2010/11/main" uri="{B97F6D7D-B522-45F9-BDA1-12C45D357490}">
          <x15:cacheHierarchy aggregatedColumn="23"/>
        </ext>
      </extLst>
    </cacheHierarchy>
    <cacheHierarchy uniqueName="[Measures].[Average of Avg del days]" caption="Average of Avg del days" measure="1" displayFolder="" measureGroup="orders"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Sum of price]" caption="Sum of price" measure="1" displayFolder="" measureGroup="orders" count="0">
      <extLst>
        <ext xmlns:x15="http://schemas.microsoft.com/office/spreadsheetml/2010/11/main" uri="{B97F6D7D-B522-45F9-BDA1-12C45D357490}">
          <x15:cacheHierarchy aggregatedColumn="24"/>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19"/>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0"/>
        </ext>
      </extLst>
    </cacheHierarchy>
    <cacheHierarchy uniqueName="[Measures].[Average of Days]" caption="Average of Days" measure="1" displayFolder="" measureGroup="orders"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_sales_rev]" caption="total_sales_rev"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83139342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939F3A-1404-4131-845E-F107A4691269}" name="PivotTable32" cacheId="4725" applyNumberFormats="0" applyBorderFormats="0" applyFontFormats="0" applyPatternFormats="0" applyAlignmentFormats="0" applyWidthHeightFormats="1" dataCaption="Values" tag="4963f506-3e39-435c-a54c-4cfc801da640" updatedVersion="8" minRefreshableVersion="5" useAutoFormatting="1" itemPrintTitles="1" createdVersion="8" indent="0" outline="1" outlineData="1" multipleFieldFilters="0">
  <location ref="C9:C10" firstHeaderRow="1" firstDataRow="1" firstDataCol="0"/>
  <pivotFields count="1">
    <pivotField dataField="1" subtotalTop="0" showAll="0" defaultSubtotal="0"/>
  </pivotFields>
  <rowItems count="1">
    <i/>
  </rowItems>
  <colItems count="1">
    <i/>
  </colItems>
  <dataFields count="1">
    <dataField name="Count of Order_ID" fld="0" subtotal="count"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A7BCC0-CFBE-4616-AFA3-261D7D5357F1}" name="PivotTable29" cacheId="4722" applyNumberFormats="0" applyBorderFormats="0" applyFontFormats="0" applyPatternFormats="0" applyAlignmentFormats="0" applyWidthHeightFormats="1" dataCaption="Values" tag="3a7730db-167d-498f-a008-02489b41f63a" updatedVersion="8" minRefreshableVersion="5" useAutoFormatting="1" itemPrintTitles="1" createdVersion="8" indent="0" outline="1" outlineData="1" multipleFieldFilters="0" chartFormat="9" rowHeaderCaption="Hours most order sales rev">
  <location ref="J40:K65" firstHeaderRow="1" firstDataRow="1" firstDataCol="1"/>
  <pivotFields count="3">
    <pivotField allDrilled="1" subtotalTop="0" showAll="0" measureFilter="1" defaultSubtotal="0" defaultAttributeDrillState="1">
      <items count="5">
        <item x="0"/>
        <item x="1"/>
        <item x="2"/>
        <item x="3"/>
        <item x="4"/>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2" baseField="1" baseItem="0" numFmtId="167"/>
  </dataFields>
  <chartFormats count="1">
    <chartFormat chart="8"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v by occasions"/>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5">
      <autoFilter ref="A1">
        <filterColumn colId="0">
          <top10 val="5" filterVal="5"/>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2E1A93-6D05-4A56-BE9F-690631A6048C}" name="PivotTable28" cacheId="4719" applyNumberFormats="0" applyBorderFormats="0" applyFontFormats="0" applyPatternFormats="0" applyAlignmentFormats="0" applyWidthHeightFormats="1" dataCaption="Values" tag="e7f9fc14-82bd-42db-b8c3-f7512e3d813c" updatedVersion="8" minRefreshableVersion="5" useAutoFormatting="1" itemPrintTitles="1" createdVersion="8" indent="0" outline="1" outlineData="1" multipleFieldFilters="0" chartFormat="3" rowHeaderCaption="Days most order transaction">
  <location ref="C36:D44" firstHeaderRow="1" firstDataRow="1" firstDataCol="1"/>
  <pivotFields count="3">
    <pivotField allDrilled="1" subtotalTop="0" showAll="0" measureFilter="1" defaultSubtotal="0" defaultAttributeDrillState="1">
      <items count="5">
        <item x="0"/>
        <item x="1"/>
        <item x="2"/>
        <item x="3"/>
        <item x="4"/>
      </items>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8">
    <i>
      <x v="3"/>
    </i>
    <i>
      <x v="5"/>
    </i>
    <i>
      <x/>
    </i>
    <i>
      <x v="1"/>
    </i>
    <i>
      <x v="2"/>
    </i>
    <i>
      <x v="4"/>
    </i>
    <i>
      <x v="6"/>
    </i>
    <i t="grand">
      <x/>
    </i>
  </rowItems>
  <colItems count="1">
    <i/>
  </colItems>
  <dataFields count="1">
    <dataField name="Count of Order_ID" fld="2" subtotal="count" baseField="1"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v by occasions"/>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5">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C8C54F-5204-460D-A02D-7CA05C2422A7}" name="PivotTable27" cacheId="4692" applyNumberFormats="0" applyBorderFormats="0" applyFontFormats="0" applyPatternFormats="0" applyAlignmentFormats="0" applyWidthHeightFormats="1" dataCaption="Values" tag="886afd97-6d52-44ed-866f-2d1f53231c25" updatedVersion="8" minRefreshableVersion="5" useAutoFormatting="1" itemPrintTitles="1" createdVersion="8" indent="0" outline="1" outlineData="1" multipleFieldFilters="0" chartFormat="4" rowHeaderCaption="Top categories">
  <location ref="G36:H44" firstHeaderRow="1" firstDataRow="1" firstDataCol="1"/>
  <pivotFields count="3">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2"/>
  </rowFields>
  <rowItems count="8">
    <i>
      <x v="1"/>
    </i>
    <i>
      <x v="5"/>
    </i>
    <i>
      <x v="6"/>
    </i>
    <i>
      <x/>
    </i>
    <i>
      <x v="4"/>
    </i>
    <i>
      <x v="3"/>
    </i>
    <i>
      <x v="2"/>
    </i>
    <i t="grand">
      <x/>
    </i>
  </rowItems>
  <colItems count="1">
    <i/>
  </colItems>
  <dataFields count="1">
    <dataField name="Sum of revenue" fld="1" baseField="2" baseItem="2" numFmtId="167"/>
  </dataFields>
  <chartFormats count="1">
    <chartFormat chart="3" format="3"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ays"/>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34">
      <autoFilter ref="A1">
        <filterColumn colId="0">
          <top10 val="5" filterVal="5"/>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4B2790-43E1-42B8-B199-7D6F40D4D5E7}" name="PivotTable26" cacheId="4716" applyNumberFormats="0" applyBorderFormats="0" applyFontFormats="0" applyPatternFormats="0" applyAlignmentFormats="0" applyWidthHeightFormats="1" dataCaption="Values" tag="53d57a10-e95d-4117-b76c-abce0397c701" updatedVersion="8" minRefreshableVersion="5" useAutoFormatting="1" itemPrintTitles="1" createdVersion="8" indent="0" outline="1" outlineData="1" multipleFieldFilters="0" rowHeaderCaption="Products popularity">
  <location ref="J19:K25"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2"/>
    </i>
    <i>
      <x v="4"/>
    </i>
    <i>
      <x v="3"/>
    </i>
    <i>
      <x/>
    </i>
    <i>
      <x v="1"/>
    </i>
    <i t="grand">
      <x/>
    </i>
  </rowItems>
  <colItems count="1">
    <i/>
  </colItems>
  <dataFields count="1">
    <dataField name="Sum of Quantity" fld="1"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v by occasions"/>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5">
      <autoFilter ref="A1">
        <filterColumn colId="0">
          <top10 val="5" filterVal="5"/>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C762BA-CAC5-4481-B802-467FB1B001DC}" name="PivotTable25" cacheId="4713" applyNumberFormats="0" applyBorderFormats="0" applyFontFormats="0" applyPatternFormats="0" applyAlignmentFormats="0" applyWidthHeightFormats="1" dataCaption="Values" tag="e1a2abe0-7eef-4063-80e8-21a7e576caaf" updatedVersion="8" minRefreshableVersion="5" useAutoFormatting="1" itemPrintTitles="1" createdVersion="8" indent="0" outline="1" outlineData="1" multipleFieldFilters="0" chartFormat="3" rowHeaderCaption="Rev by occasions">
  <location ref="G19:H27" firstHeaderRow="1" firstDataRow="1" firstDataCol="1"/>
  <pivotFields count="2">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
    <i>
      <x v="1"/>
    </i>
    <i>
      <x v="5"/>
    </i>
    <i>
      <x/>
    </i>
    <i>
      <x v="4"/>
    </i>
    <i>
      <x v="2"/>
    </i>
    <i>
      <x v="6"/>
    </i>
    <i>
      <x v="3"/>
    </i>
    <i t="grand">
      <x/>
    </i>
  </rowItems>
  <colItems count="1">
    <i/>
  </colItems>
  <dataFields count="1">
    <dataField name="Sum of revenue" fld="1" baseField="0" baseItem="0" numFmtId="167"/>
  </dataFields>
  <chartFormats count="1">
    <chartFormat chart="2"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v by occasions"/>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927034A-C835-4DAC-AF10-9931A190B47A}" name="PivotTable23" cacheId="4710" applyNumberFormats="0" applyBorderFormats="0" applyFontFormats="0" applyPatternFormats="0" applyAlignmentFormats="0" applyWidthHeightFormats="1" dataCaption="Values" tag="0f99ea91-2f10-4e32-b458-2d8d5b0d4cf4" updatedVersion="8" minRefreshableVersion="5" useAutoFormatting="1" itemPrintTitles="1" createdVersion="8" indent="0" outline="1" outlineData="1" multipleFieldFilters="0" chartFormat="4" rowHeaderCaption="Top 10 Cities">
  <location ref="C19:D30" firstHeaderRow="1" firstDataRow="1" firstDataCol="1"/>
  <pivotFields count="3">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11">
    <i>
      <x v="6"/>
    </i>
    <i>
      <x v="7"/>
    </i>
    <i>
      <x v="3"/>
    </i>
    <i>
      <x v="9"/>
    </i>
    <i>
      <x v="5"/>
    </i>
    <i>
      <x v="4"/>
    </i>
    <i>
      <x v="8"/>
    </i>
    <i>
      <x v="1"/>
    </i>
    <i>
      <x/>
    </i>
    <i>
      <x v="2"/>
    </i>
    <i t="grand">
      <x/>
    </i>
  </rowItems>
  <colItems count="1">
    <i/>
  </colItems>
  <dataFields count="1">
    <dataField name="Sum of revenue" fld="2" baseField="1" baseItem="5" numFmtId="167"/>
  </dataFields>
  <chartFormats count="1">
    <chartFormat chart="3" format="4"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revenue"/>
    <pivotHierarchy dragToData="1"/>
    <pivotHierarchy dragToData="1"/>
    <pivotHierarchy dragToData="1"/>
    <pivotHierarchy dragToData="1"/>
    <pivotHierarchy dragToData="1" caption="Average of Days"/>
    <pivotHierarchy dragToData="1" caption="Average of revenue"/>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34">
      <autoFilter ref="A1">
        <filterColumn colId="0">
          <top10 val="10" filterVal="10"/>
        </filterColumn>
      </autoFilter>
    </filter>
    <filter fld="1" type="count" id="2" iMeasureHier="3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581DAB-943D-4257-8999-0E0A34587883}" name="PivotTable22" cacheId="4707" applyNumberFormats="0" applyBorderFormats="0" applyFontFormats="0" applyPatternFormats="0" applyAlignmentFormats="0" applyWidthHeightFormats="1" dataCaption="Values" tag="5cf99b1f-ee68-4854-be1c-5c1085b5f564" updatedVersion="8" minRefreshableVersion="5" useAutoFormatting="1" itemPrintTitles="1" createdVersion="8" indent="0" outline="1" outlineData="1" multipleFieldFilters="0" rowHeaderCaption="Top customers">
  <location ref="O3:P14"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7"/>
    </i>
    <i>
      <x v="8"/>
    </i>
    <i>
      <x v="3"/>
    </i>
    <i>
      <x v="4"/>
    </i>
    <i>
      <x v="6"/>
    </i>
    <i>
      <x v="2"/>
    </i>
    <i>
      <x/>
    </i>
    <i>
      <x v="9"/>
    </i>
    <i>
      <x v="5"/>
    </i>
    <i>
      <x v="1"/>
    </i>
    <i t="grand">
      <x/>
    </i>
  </rowItems>
  <colItems count="1">
    <i/>
  </colItems>
  <dataFields count="1">
    <dataField name="Sum of revenue" fld="1" baseField="0" baseItem="4" numFmtId="167"/>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revenue"/>
    <pivotHierarchy dragToData="1"/>
    <pivotHierarchy dragToData="1"/>
    <pivotHierarchy dragToData="1"/>
    <pivotHierarchy dragToData="1"/>
    <pivotHierarchy dragToData="1" caption="Average of Days"/>
    <pivotHierarchy dragToData="1" caption="Average of revenue"/>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34">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24BAE6F-43A7-47C0-90A3-92C9F2B3463F}" name="PivotTable20" cacheId="4704" applyNumberFormats="0" applyBorderFormats="0" applyFontFormats="0" applyPatternFormats="0" applyAlignmentFormats="0" applyWidthHeightFormats="1" dataCaption="Values" tag="99093658-09cd-4802-8502-473055738df7" updatedVersion="8" minRefreshableVersion="5" useAutoFormatting="1" itemPrintTitles="1" createdVersion="8" indent="0" outline="1" outlineData="1" multipleFieldFilters="0">
  <location ref="M3:M4" firstHeaderRow="1" firstDataRow="1" firstDataCol="0"/>
  <pivotFields count="2">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Items count="1">
    <i/>
  </rowItems>
  <colItems count="1">
    <i/>
  </colItems>
  <dataFields count="1">
    <dataField name="Average of revenue" fld="1" subtotal="average" baseField="0" baseItem="0" numFmtId="167"/>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ays"/>
    <pivotHierarchy dragToData="1" caption="Average of revenue"/>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4">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7C64467-E261-45D2-AF94-A07B58B0AA20}" name="PivotTable18" cacheId="4701" applyNumberFormats="0" applyBorderFormats="0" applyFontFormats="0" applyPatternFormats="0" applyAlignmentFormats="0" applyWidthHeightFormats="1" dataCaption="Values" tag="7a9e87fa-beab-4dba-8752-691e9a21bd24" updatedVersion="8" minRefreshableVersion="5" useAutoFormatting="1" itemPrintTitles="1" createdVersion="8" indent="0" outline="1" outlineData="1" multipleFieldFilters="0" chartFormat="3" rowHeaderCaption="Top products">
  <location ref="J3:K9"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3"/>
    </i>
    <i>
      <x v="4"/>
    </i>
    <i>
      <x v="1"/>
    </i>
    <i>
      <x v="2"/>
    </i>
    <i>
      <x/>
    </i>
    <i t="grand">
      <x/>
    </i>
  </rowItems>
  <colItems count="1">
    <i/>
  </colItems>
  <dataFields count="1">
    <dataField name="Sum of revenue" fld="1" baseField="0" baseItem="3" numFmtId="167"/>
  </dataFields>
  <chartFormats count="1">
    <chartFormat chart="2"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ays"/>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34">
      <autoFilter ref="A1">
        <filterColumn colId="0">
          <top10 val="5" filterVal="5"/>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D60B533-77ED-48F7-8350-21D63BC77B98}" name="PivotTable17" cacheId="4698" applyNumberFormats="0" applyBorderFormats="0" applyFontFormats="0" applyPatternFormats="0" applyAlignmentFormats="0" applyWidthHeightFormats="1" dataCaption="Values" tag="a0815ca7-ef56-48bf-83f6-b0dc4e3cc239" updatedVersion="8" minRefreshableVersion="5" useAutoFormatting="1" itemPrintTitles="1" createdVersion="8" indent="0" outline="1" outlineData="1" multipleFieldFilters="0" chartFormat="4" rowHeaderCaption="Monthly sales perf">
  <location ref="G3:H16"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1" baseItem="0" numFmtId="166"/>
  </dataFields>
  <chartFormats count="1">
    <chartFormat chart="3" format="3"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ays"/>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858CF74-0E71-4DA0-9249-5F9C662C4F61}" name="PivotTable15" cacheId="4695" applyNumberFormats="0" applyBorderFormats="0" applyFontFormats="0" applyPatternFormats="0" applyAlignmentFormats="0" applyWidthHeightFormats="1" dataCaption="Values" tag="07c7ec8c-11bb-4cd5-9bdb-1d7827c867bb" updatedVersion="8" minRefreshableVersion="5" useAutoFormatting="1" itemPrintTitles="1" createdVersion="8" indent="0" outline="1" outlineData="1" multipleFieldFilters="0">
  <location ref="E3:E4" firstHeaderRow="1" firstDataRow="1" firstDataCol="0"/>
  <pivotFields count="1">
    <pivotField dataField="1" subtotalTop="0" showAll="0" defaultSubtotal="0"/>
  </pivotFields>
  <rowItems count="1">
    <i/>
  </rowItems>
  <colItems count="1">
    <i/>
  </colItems>
  <dataFields count="1">
    <dataField name="Average of Days" fld="0" subtotal="average"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ays"/>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5966B92-0D97-4A72-A78C-0F160825291E}" name="PivotTable8" cacheId="4728" applyNumberFormats="0" applyBorderFormats="0" applyFontFormats="0" applyPatternFormats="0" applyAlignmentFormats="0" applyWidthHeightFormats="1" dataCaption="Values" tag="8a1f78e2-b2a5-452b-88c5-15c68fe33c71" updatedVersion="8" minRefreshableVersion="5" useAutoFormatting="1" itemPrintTitles="1" createdVersion="8" indent="0" outline="1" outlineData="1" multipleFieldFilters="0">
  <location ref="C3:C4" firstHeaderRow="1" firstDataRow="1" firstDataCol="0"/>
  <pivotFields count="1">
    <pivotField dataField="1" subtotalTop="0" showAll="0" defaultSubtotal="0"/>
  </pivotFields>
  <rowItems count="1">
    <i/>
  </rowItems>
  <colItems count="1">
    <i/>
  </colItems>
  <dataFields count="1">
    <dataField fld="0" subtotal="count" baseField="0" baseItem="0" numFmtId="167"/>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D590CF6C-590F-4517-BA07-389E3106136D}" sourceName="[orders].[Occasion]">
  <pivotTables>
    <pivotTable tabId="6" name="PivotTable26"/>
    <pivotTable tabId="6" name="PivotTable18"/>
    <pivotTable tabId="6" name="PivotTable28"/>
    <pivotTable tabId="6" name="PivotTable29"/>
    <pivotTable tabId="6" name="PivotTable15"/>
    <pivotTable tabId="6" name="PivotTable17"/>
    <pivotTable tabId="6" name="PivotTable20"/>
    <pivotTable tabId="6" name="PivotTable22"/>
    <pivotTable tabId="6" name="PivotTable23"/>
    <pivotTable tabId="6" name="PivotTable27"/>
    <pivotTable tabId="6" name="PivotTable32"/>
    <pivotTable tabId="6" name="PivotTable8"/>
  </pivotTables>
  <data>
    <olap pivotCacheId="1887938916">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B20F868F-C653-4F31-9623-6A37D1E387BA}" cache="Slicer_Occasion" caption="Occasion" level="1" rowHeight="396000"/>
</slicers>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7A5BC291-EA98-4F06-9121-A8360C24466F}" sourceName="[orders].[Order_Date]">
  <pivotTables>
    <pivotTable tabId="6" name="PivotTable18"/>
    <pivotTable tabId="6" name="PivotTable15"/>
    <pivotTable tabId="6" name="PivotTable17"/>
    <pivotTable tabId="6" name="PivotTable20"/>
    <pivotTable tabId="6" name="PivotTable22"/>
    <pivotTable tabId="6" name="PivotTable23"/>
    <pivotTable tabId="6" name="PivotTable25"/>
    <pivotTable tabId="6" name="PivotTable26"/>
    <pivotTable tabId="6" name="PivotTable27"/>
    <pivotTable tabId="6" name="PivotTable28"/>
    <pivotTable tabId="6" name="PivotTable29"/>
    <pivotTable tabId="6" name="PivotTable32"/>
    <pivotTable tabId="6" name="PivotTable8"/>
  </pivotTables>
  <state minimalRefreshVersion="6" lastRefreshVersion="6" pivotCacheId="894219648"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54397848-1394-496D-BC6E-835A448920CB}" sourceName="[orders].[Delivery_Date]">
  <pivotTables>
    <pivotTable tabId="6" name="PivotTable27"/>
    <pivotTable tabId="6" name="PivotTable15"/>
    <pivotTable tabId="6" name="PivotTable17"/>
    <pivotTable tabId="6" name="PivotTable18"/>
    <pivotTable tabId="6" name="PivotTable20"/>
    <pivotTable tabId="6" name="PivotTable22"/>
    <pivotTable tabId="6" name="PivotTable23"/>
    <pivotTable tabId="6" name="PivotTable25"/>
    <pivotTable tabId="6" name="PivotTable26"/>
    <pivotTable tabId="6" name="PivotTable28"/>
    <pivotTable tabId="6" name="PivotTable29"/>
    <pivotTable tabId="6" name="PivotTable32"/>
    <pivotTable tabId="6" name="PivotTable8"/>
  </pivotTables>
  <state minimalRefreshVersion="6" lastRefreshVersion="6" pivotCacheId="1831393426"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A82CF4D9-0E7B-483D-B2E5-BC902DE33737}" cache="Timeline_Order_Date" caption="Order_Date" level="2" selectionLevel="2" scrollPosition="2023-01-01T00:00:00"/>
  <timeline name="Delivery_Date" xr10:uid="{35D0C2CC-2011-444E-A574-D17DE35707E7}" cache="Timeline_Delivery_Date" caption="Delivery_Date" level="2" selectionLevel="2" scrollPosition="2023-08-10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17C50-3A78-40E9-8713-118225E84736}">
  <dimension ref="C3:P65"/>
  <sheetViews>
    <sheetView workbookViewId="0">
      <selection activeCell="D25" sqref="D25"/>
    </sheetView>
  </sheetViews>
  <sheetFormatPr defaultRowHeight="15" x14ac:dyDescent="0.25"/>
  <cols>
    <col min="3" max="3" width="14.5703125" bestFit="1" customWidth="1"/>
    <col min="4" max="4" width="17.5703125" bestFit="1" customWidth="1"/>
    <col min="5" max="5" width="15.42578125" bestFit="1" customWidth="1"/>
    <col min="6" max="6" width="6.85546875" customWidth="1"/>
    <col min="7" max="7" width="18.85546875" bestFit="1" customWidth="1"/>
    <col min="8" max="8" width="15.28515625" bestFit="1" customWidth="1"/>
    <col min="9" max="9" width="4.7109375" customWidth="1"/>
    <col min="10" max="10" width="28" bestFit="1" customWidth="1"/>
    <col min="11" max="11" width="15.28515625" bestFit="1" customWidth="1"/>
    <col min="12" max="12" width="5.140625" customWidth="1"/>
    <col min="13" max="13" width="18.5703125" bestFit="1" customWidth="1"/>
    <col min="14" max="14" width="4.85546875" customWidth="1"/>
    <col min="15" max="15" width="17" bestFit="1" customWidth="1"/>
    <col min="16" max="16" width="15.28515625" bestFit="1" customWidth="1"/>
    <col min="17" max="17" width="12" bestFit="1" customWidth="1"/>
    <col min="18" max="19" width="5.42578125" bestFit="1" customWidth="1"/>
    <col min="20" max="20" width="12" bestFit="1" customWidth="1"/>
    <col min="21" max="21" width="5.42578125" bestFit="1" customWidth="1"/>
    <col min="22" max="22" width="12" bestFit="1" customWidth="1"/>
    <col min="23" max="23" width="6" bestFit="1" customWidth="1"/>
    <col min="24" max="24" width="12" bestFit="1" customWidth="1"/>
    <col min="25" max="25" width="6" bestFit="1" customWidth="1"/>
    <col min="26" max="28" width="12" bestFit="1" customWidth="1"/>
    <col min="29" max="29" width="5.42578125" bestFit="1" customWidth="1"/>
    <col min="30" max="32" width="12" bestFit="1" customWidth="1"/>
    <col min="33" max="33" width="7" bestFit="1" customWidth="1"/>
    <col min="34" max="34" width="12" bestFit="1" customWidth="1"/>
    <col min="35" max="36" width="5.42578125" bestFit="1" customWidth="1"/>
    <col min="37" max="37" width="12" bestFit="1" customWidth="1"/>
    <col min="38" max="38" width="5.42578125" bestFit="1" customWidth="1"/>
    <col min="39" max="39" width="12" bestFit="1" customWidth="1"/>
    <col min="40" max="40" width="5.42578125" bestFit="1" customWidth="1"/>
    <col min="41" max="41" width="12" bestFit="1" customWidth="1"/>
    <col min="42" max="42" width="5.42578125" bestFit="1" customWidth="1"/>
    <col min="43" max="45" width="12" bestFit="1" customWidth="1"/>
    <col min="46" max="46" width="5.42578125" bestFit="1" customWidth="1"/>
    <col min="47" max="47" width="12" bestFit="1" customWidth="1"/>
    <col min="48" max="48" width="5.42578125" bestFit="1" customWidth="1"/>
    <col min="49" max="49" width="12" bestFit="1" customWidth="1"/>
    <col min="50" max="50" width="5.42578125" bestFit="1" customWidth="1"/>
    <col min="51" max="56" width="12" bestFit="1" customWidth="1"/>
    <col min="57" max="57" width="5.42578125" bestFit="1" customWidth="1"/>
    <col min="58" max="61" width="12" bestFit="1" customWidth="1"/>
    <col min="62" max="62" width="5.42578125" bestFit="1" customWidth="1"/>
    <col min="63" max="65" width="12" bestFit="1" customWidth="1"/>
    <col min="66" max="66" width="5.42578125" bestFit="1" customWidth="1"/>
    <col min="67" max="67" width="12" bestFit="1" customWidth="1"/>
    <col min="68" max="68" width="5.42578125" bestFit="1" customWidth="1"/>
    <col min="69" max="71" width="12" bestFit="1" customWidth="1"/>
    <col min="72" max="73" width="5.42578125" bestFit="1" customWidth="1"/>
    <col min="74" max="77" width="12" bestFit="1" customWidth="1"/>
    <col min="78" max="79" width="5.42578125" bestFit="1" customWidth="1"/>
    <col min="80" max="80" width="12" bestFit="1" customWidth="1"/>
    <col min="81" max="81" width="6" bestFit="1" customWidth="1"/>
    <col min="82" max="88" width="12" bestFit="1" customWidth="1"/>
    <col min="89" max="89" width="5.42578125" bestFit="1" customWidth="1"/>
    <col min="90" max="92" width="12" bestFit="1" customWidth="1"/>
    <col min="93" max="94" width="5.42578125" bestFit="1" customWidth="1"/>
    <col min="95" max="95" width="6" bestFit="1" customWidth="1"/>
    <col min="96" max="97" width="12" bestFit="1" customWidth="1"/>
    <col min="98" max="99" width="5.42578125" bestFit="1" customWidth="1"/>
    <col min="100" max="100" width="12" bestFit="1" customWidth="1"/>
    <col min="101" max="101" width="5.42578125" bestFit="1" customWidth="1"/>
    <col min="102" max="105" width="12" bestFit="1" customWidth="1"/>
    <col min="106" max="106" width="5.42578125" bestFit="1" customWidth="1"/>
    <col min="107" max="112" width="12" bestFit="1" customWidth="1"/>
    <col min="113" max="113" width="5.42578125" bestFit="1" customWidth="1"/>
    <col min="114" max="114" width="12" bestFit="1" customWidth="1"/>
  </cols>
  <sheetData>
    <row r="3" spans="3:16" x14ac:dyDescent="0.25">
      <c r="C3" t="s">
        <v>76</v>
      </c>
      <c r="E3" t="s">
        <v>57</v>
      </c>
      <c r="F3" s="2"/>
      <c r="G3" s="2" t="s">
        <v>61</v>
      </c>
      <c r="H3" t="s">
        <v>42</v>
      </c>
      <c r="J3" s="2" t="s">
        <v>60</v>
      </c>
      <c r="K3" t="s">
        <v>42</v>
      </c>
      <c r="M3" t="s">
        <v>58</v>
      </c>
      <c r="O3" s="2" t="s">
        <v>59</v>
      </c>
      <c r="P3" t="s">
        <v>42</v>
      </c>
    </row>
    <row r="4" spans="3:16" x14ac:dyDescent="0.25">
      <c r="C4" s="4">
        <v>3520984</v>
      </c>
      <c r="E4" s="1">
        <v>5.53</v>
      </c>
      <c r="F4" s="1"/>
      <c r="G4" s="5" t="s">
        <v>47</v>
      </c>
      <c r="H4" s="3">
        <v>95468</v>
      </c>
      <c r="I4" s="3"/>
      <c r="J4" s="5" t="s">
        <v>20</v>
      </c>
      <c r="K4" s="4">
        <v>121905</v>
      </c>
      <c r="M4" s="4">
        <v>3520.9839999999999</v>
      </c>
      <c r="O4" s="5" t="s">
        <v>1</v>
      </c>
      <c r="P4" s="4">
        <v>75029</v>
      </c>
    </row>
    <row r="5" spans="3:16" x14ac:dyDescent="0.25">
      <c r="G5" s="5" t="s">
        <v>46</v>
      </c>
      <c r="H5" s="3">
        <v>704509</v>
      </c>
      <c r="I5" s="3"/>
      <c r="J5" s="5" t="s">
        <v>35</v>
      </c>
      <c r="K5" s="4">
        <v>114476</v>
      </c>
      <c r="O5" s="5" t="s">
        <v>10</v>
      </c>
      <c r="P5" s="4">
        <v>70409</v>
      </c>
    </row>
    <row r="6" spans="3:16" x14ac:dyDescent="0.25">
      <c r="G6" s="5" t="s">
        <v>50</v>
      </c>
      <c r="H6" s="3">
        <v>511823</v>
      </c>
      <c r="I6" s="3"/>
      <c r="J6" s="5" t="s">
        <v>40</v>
      </c>
      <c r="K6" s="4">
        <v>106624</v>
      </c>
      <c r="O6" s="5" t="s">
        <v>12</v>
      </c>
      <c r="P6" s="4">
        <v>61294</v>
      </c>
    </row>
    <row r="7" spans="3:16" x14ac:dyDescent="0.25">
      <c r="G7" s="5" t="s">
        <v>43</v>
      </c>
      <c r="H7" s="3">
        <v>140393</v>
      </c>
      <c r="I7" s="3"/>
      <c r="J7" s="5" t="s">
        <v>39</v>
      </c>
      <c r="K7" s="4">
        <v>101556</v>
      </c>
      <c r="O7" s="5" t="s">
        <v>4</v>
      </c>
      <c r="P7" s="4">
        <v>59666</v>
      </c>
    </row>
    <row r="8" spans="3:16" x14ac:dyDescent="0.25">
      <c r="G8" s="5" t="s">
        <v>51</v>
      </c>
      <c r="H8" s="3">
        <v>150346</v>
      </c>
      <c r="I8" s="3"/>
      <c r="J8" s="5" t="s">
        <v>34</v>
      </c>
      <c r="K8" s="4">
        <v>97665</v>
      </c>
      <c r="O8" s="5" t="s">
        <v>19</v>
      </c>
      <c r="P8" s="4">
        <v>53082</v>
      </c>
    </row>
    <row r="9" spans="3:16" x14ac:dyDescent="0.25">
      <c r="C9" t="s">
        <v>66</v>
      </c>
      <c r="G9" s="5" t="s">
        <v>49</v>
      </c>
      <c r="H9" s="3">
        <v>157913</v>
      </c>
      <c r="I9" s="3"/>
      <c r="J9" s="5" t="s">
        <v>55</v>
      </c>
      <c r="K9" s="4">
        <v>542226</v>
      </c>
      <c r="O9" s="5" t="s">
        <v>14</v>
      </c>
      <c r="P9" s="4">
        <v>50856</v>
      </c>
    </row>
    <row r="10" spans="3:16" x14ac:dyDescent="0.25">
      <c r="C10" s="1">
        <v>1000</v>
      </c>
      <c r="G10" s="5" t="s">
        <v>48</v>
      </c>
      <c r="H10" s="3">
        <v>135826</v>
      </c>
      <c r="I10" s="3"/>
      <c r="O10" s="5" t="s">
        <v>16</v>
      </c>
      <c r="P10" s="4">
        <v>50313</v>
      </c>
    </row>
    <row r="11" spans="3:16" x14ac:dyDescent="0.25">
      <c r="G11" s="5" t="s">
        <v>44</v>
      </c>
      <c r="H11" s="3">
        <v>737389</v>
      </c>
      <c r="I11" s="3"/>
      <c r="O11" s="5" t="s">
        <v>0</v>
      </c>
      <c r="P11" s="4">
        <v>50151</v>
      </c>
    </row>
    <row r="12" spans="3:16" x14ac:dyDescent="0.25">
      <c r="G12" s="5" t="s">
        <v>54</v>
      </c>
      <c r="H12" s="3">
        <v>136938</v>
      </c>
      <c r="I12" s="3"/>
      <c r="O12" s="5" t="s">
        <v>7</v>
      </c>
      <c r="P12" s="4">
        <v>49494</v>
      </c>
    </row>
    <row r="13" spans="3:16" x14ac:dyDescent="0.25">
      <c r="G13" s="5" t="s">
        <v>53</v>
      </c>
      <c r="H13" s="3">
        <v>151619</v>
      </c>
      <c r="I13" s="3"/>
      <c r="O13" s="5" t="s">
        <v>18</v>
      </c>
      <c r="P13" s="4">
        <v>49100</v>
      </c>
    </row>
    <row r="14" spans="3:16" x14ac:dyDescent="0.25">
      <c r="G14" s="5" t="s">
        <v>52</v>
      </c>
      <c r="H14" s="3">
        <v>449169</v>
      </c>
      <c r="I14" s="3"/>
      <c r="O14" s="5" t="s">
        <v>55</v>
      </c>
      <c r="P14" s="4">
        <v>569394</v>
      </c>
    </row>
    <row r="15" spans="3:16" x14ac:dyDescent="0.25">
      <c r="G15" s="5" t="s">
        <v>45</v>
      </c>
      <c r="H15" s="3">
        <v>149591</v>
      </c>
      <c r="I15" s="3"/>
    </row>
    <row r="16" spans="3:16" x14ac:dyDescent="0.25">
      <c r="G16" s="5" t="s">
        <v>55</v>
      </c>
      <c r="H16" s="3">
        <v>3520984</v>
      </c>
      <c r="I16" s="3"/>
    </row>
    <row r="19" spans="3:11" x14ac:dyDescent="0.25">
      <c r="C19" s="2" t="s">
        <v>62</v>
      </c>
      <c r="D19" t="s">
        <v>42</v>
      </c>
      <c r="G19" s="2" t="s">
        <v>63</v>
      </c>
      <c r="H19" t="s">
        <v>42</v>
      </c>
      <c r="J19" s="2" t="s">
        <v>64</v>
      </c>
      <c r="K19" t="s">
        <v>56</v>
      </c>
    </row>
    <row r="20" spans="3:11" x14ac:dyDescent="0.25">
      <c r="C20" s="5" t="s">
        <v>13</v>
      </c>
      <c r="D20" s="4">
        <v>125854</v>
      </c>
      <c r="G20" s="5" t="s">
        <v>30</v>
      </c>
      <c r="H20" s="4">
        <v>674634</v>
      </c>
      <c r="J20" s="5" t="s">
        <v>36</v>
      </c>
      <c r="K20" s="1">
        <v>82</v>
      </c>
    </row>
    <row r="21" spans="3:11" x14ac:dyDescent="0.25">
      <c r="C21" s="5" t="s">
        <v>5</v>
      </c>
      <c r="D21" s="4">
        <v>109979</v>
      </c>
      <c r="G21" s="5" t="s">
        <v>31</v>
      </c>
      <c r="H21" s="4">
        <v>631585</v>
      </c>
      <c r="J21" s="5" t="s">
        <v>35</v>
      </c>
      <c r="K21" s="1">
        <v>80</v>
      </c>
    </row>
    <row r="22" spans="3:11" x14ac:dyDescent="0.25">
      <c r="C22" s="5" t="s">
        <v>15</v>
      </c>
      <c r="D22" s="4">
        <v>93813</v>
      </c>
      <c r="G22" s="5" t="s">
        <v>22</v>
      </c>
      <c r="H22" s="4">
        <v>586176</v>
      </c>
      <c r="J22" s="5" t="s">
        <v>41</v>
      </c>
      <c r="K22" s="1">
        <v>74</v>
      </c>
    </row>
    <row r="23" spans="3:11" x14ac:dyDescent="0.25">
      <c r="C23" s="5" t="s">
        <v>17</v>
      </c>
      <c r="D23" s="4">
        <v>81663</v>
      </c>
      <c r="G23" s="5" t="s">
        <v>29</v>
      </c>
      <c r="H23" s="4">
        <v>574682</v>
      </c>
      <c r="J23" s="5" t="s">
        <v>37</v>
      </c>
      <c r="K23" s="1">
        <v>72</v>
      </c>
    </row>
    <row r="24" spans="3:11" x14ac:dyDescent="0.25">
      <c r="C24" s="5" t="s">
        <v>6</v>
      </c>
      <c r="D24" s="4">
        <v>80733</v>
      </c>
      <c r="G24" s="5" t="s">
        <v>32</v>
      </c>
      <c r="H24" s="4">
        <v>408194</v>
      </c>
      <c r="J24" s="5" t="s">
        <v>38</v>
      </c>
      <c r="K24" s="1">
        <v>65</v>
      </c>
    </row>
    <row r="25" spans="3:11" x14ac:dyDescent="0.25">
      <c r="C25" s="5" t="s">
        <v>9</v>
      </c>
      <c r="D25" s="4">
        <v>76822</v>
      </c>
      <c r="G25" s="5" t="s">
        <v>24</v>
      </c>
      <c r="H25" s="4">
        <v>331930</v>
      </c>
      <c r="J25" s="5" t="s">
        <v>55</v>
      </c>
      <c r="K25" s="1">
        <v>373</v>
      </c>
    </row>
    <row r="26" spans="3:11" x14ac:dyDescent="0.25">
      <c r="C26" s="5" t="s">
        <v>2</v>
      </c>
      <c r="D26" s="4">
        <v>75029</v>
      </c>
      <c r="G26" s="5" t="s">
        <v>27</v>
      </c>
      <c r="H26" s="4">
        <v>313783</v>
      </c>
    </row>
    <row r="27" spans="3:11" x14ac:dyDescent="0.25">
      <c r="C27" s="5" t="s">
        <v>8</v>
      </c>
      <c r="D27" s="4">
        <v>72973</v>
      </c>
      <c r="G27" s="5" t="s">
        <v>55</v>
      </c>
      <c r="H27" s="4">
        <v>3520984</v>
      </c>
    </row>
    <row r="28" spans="3:11" x14ac:dyDescent="0.25">
      <c r="C28" s="5" t="s">
        <v>11</v>
      </c>
      <c r="D28" s="4">
        <v>70409</v>
      </c>
    </row>
    <row r="29" spans="3:11" x14ac:dyDescent="0.25">
      <c r="C29" s="5" t="s">
        <v>3</v>
      </c>
      <c r="D29" s="4">
        <v>69117</v>
      </c>
    </row>
    <row r="30" spans="3:11" x14ac:dyDescent="0.25">
      <c r="C30" s="5" t="s">
        <v>55</v>
      </c>
      <c r="D30" s="4">
        <v>856392</v>
      </c>
    </row>
    <row r="36" spans="3:11" x14ac:dyDescent="0.25">
      <c r="C36" s="2" t="s">
        <v>67</v>
      </c>
      <c r="D36" t="s">
        <v>66</v>
      </c>
      <c r="G36" s="2" t="s">
        <v>65</v>
      </c>
      <c r="H36" t="s">
        <v>42</v>
      </c>
    </row>
    <row r="37" spans="3:11" x14ac:dyDescent="0.25">
      <c r="C37" s="5" t="s">
        <v>71</v>
      </c>
      <c r="D37" s="1">
        <v>176</v>
      </c>
      <c r="G37" s="5" t="s">
        <v>25</v>
      </c>
      <c r="H37" s="4">
        <v>1005645</v>
      </c>
    </row>
    <row r="38" spans="3:11" x14ac:dyDescent="0.25">
      <c r="C38" s="5" t="s">
        <v>73</v>
      </c>
      <c r="D38" s="1">
        <v>165</v>
      </c>
      <c r="G38" s="5" t="s">
        <v>21</v>
      </c>
      <c r="H38" s="4">
        <v>740831</v>
      </c>
    </row>
    <row r="39" spans="3:11" x14ac:dyDescent="0.25">
      <c r="C39" s="5" t="s">
        <v>68</v>
      </c>
      <c r="D39" s="1">
        <v>143</v>
      </c>
      <c r="G39" s="5" t="s">
        <v>26</v>
      </c>
      <c r="H39" s="4">
        <v>733842</v>
      </c>
    </row>
    <row r="40" spans="3:11" x14ac:dyDescent="0.25">
      <c r="C40" s="5" t="s">
        <v>69</v>
      </c>
      <c r="D40" s="1">
        <v>141</v>
      </c>
      <c r="G40" s="5" t="s">
        <v>28</v>
      </c>
      <c r="H40" s="4">
        <v>329862</v>
      </c>
      <c r="J40" s="2" t="s">
        <v>75</v>
      </c>
      <c r="K40" t="s">
        <v>42</v>
      </c>
    </row>
    <row r="41" spans="3:11" x14ac:dyDescent="0.25">
      <c r="C41" s="5" t="s">
        <v>70</v>
      </c>
      <c r="D41" s="1">
        <v>133</v>
      </c>
      <c r="G41" s="5" t="s">
        <v>31</v>
      </c>
      <c r="H41" s="4">
        <v>297372</v>
      </c>
      <c r="J41" s="5">
        <v>0</v>
      </c>
      <c r="K41" s="4">
        <v>99400</v>
      </c>
    </row>
    <row r="42" spans="3:11" x14ac:dyDescent="0.25">
      <c r="C42" s="5" t="s">
        <v>72</v>
      </c>
      <c r="D42" s="1">
        <v>130</v>
      </c>
      <c r="G42" s="5" t="s">
        <v>23</v>
      </c>
      <c r="H42" s="4">
        <v>212281</v>
      </c>
      <c r="J42" s="5">
        <v>1</v>
      </c>
      <c r="K42" s="4">
        <v>129309</v>
      </c>
    </row>
    <row r="43" spans="3:11" x14ac:dyDescent="0.25">
      <c r="C43" s="5" t="s">
        <v>74</v>
      </c>
      <c r="D43" s="1">
        <v>112</v>
      </c>
      <c r="G43" s="5" t="s">
        <v>33</v>
      </c>
      <c r="H43" s="4">
        <v>201151</v>
      </c>
      <c r="J43" s="5">
        <v>2</v>
      </c>
      <c r="K43" s="4">
        <v>152940</v>
      </c>
    </row>
    <row r="44" spans="3:11" x14ac:dyDescent="0.25">
      <c r="C44" s="5" t="s">
        <v>55</v>
      </c>
      <c r="D44" s="1">
        <v>1000</v>
      </c>
      <c r="G44" s="5" t="s">
        <v>55</v>
      </c>
      <c r="H44" s="4">
        <v>3520984</v>
      </c>
      <c r="J44" s="5">
        <v>3</v>
      </c>
      <c r="K44" s="4">
        <v>146810</v>
      </c>
    </row>
    <row r="45" spans="3:11" x14ac:dyDescent="0.25">
      <c r="J45" s="5">
        <v>4</v>
      </c>
      <c r="K45" s="4">
        <v>114700</v>
      </c>
    </row>
    <row r="46" spans="3:11" x14ac:dyDescent="0.25">
      <c r="J46" s="5">
        <v>5</v>
      </c>
      <c r="K46" s="4">
        <v>156198</v>
      </c>
    </row>
    <row r="47" spans="3:11" x14ac:dyDescent="0.25">
      <c r="J47" s="5">
        <v>6</v>
      </c>
      <c r="K47" s="4">
        <v>177211</v>
      </c>
    </row>
    <row r="48" spans="3:11" x14ac:dyDescent="0.25">
      <c r="J48" s="5">
        <v>7</v>
      </c>
      <c r="K48" s="4">
        <v>147749</v>
      </c>
    </row>
    <row r="49" spans="10:11" x14ac:dyDescent="0.25">
      <c r="J49" s="5">
        <v>8</v>
      </c>
      <c r="K49" s="4">
        <v>133617</v>
      </c>
    </row>
    <row r="50" spans="10:11" x14ac:dyDescent="0.25">
      <c r="J50" s="5">
        <v>9</v>
      </c>
      <c r="K50" s="4">
        <v>153678</v>
      </c>
    </row>
    <row r="51" spans="10:11" x14ac:dyDescent="0.25">
      <c r="J51" s="5">
        <v>10</v>
      </c>
      <c r="K51" s="4">
        <v>94985</v>
      </c>
    </row>
    <row r="52" spans="10:11" x14ac:dyDescent="0.25">
      <c r="J52" s="5">
        <v>11</v>
      </c>
      <c r="K52" s="4">
        <v>130287</v>
      </c>
    </row>
    <row r="53" spans="10:11" x14ac:dyDescent="0.25">
      <c r="J53" s="5">
        <v>12</v>
      </c>
      <c r="K53" s="4">
        <v>162394</v>
      </c>
    </row>
    <row r="54" spans="10:11" x14ac:dyDescent="0.25">
      <c r="J54" s="5">
        <v>13</v>
      </c>
      <c r="K54" s="4">
        <v>152340</v>
      </c>
    </row>
    <row r="55" spans="10:11" x14ac:dyDescent="0.25">
      <c r="J55" s="5">
        <v>14</v>
      </c>
      <c r="K55" s="4">
        <v>126406</v>
      </c>
    </row>
    <row r="56" spans="10:11" x14ac:dyDescent="0.25">
      <c r="J56" s="5">
        <v>15</v>
      </c>
      <c r="K56" s="4">
        <v>163586</v>
      </c>
    </row>
    <row r="57" spans="10:11" x14ac:dyDescent="0.25">
      <c r="J57" s="5">
        <v>16</v>
      </c>
      <c r="K57" s="4">
        <v>128797</v>
      </c>
    </row>
    <row r="58" spans="10:11" x14ac:dyDescent="0.25">
      <c r="J58" s="5">
        <v>17</v>
      </c>
      <c r="K58" s="4">
        <v>155373</v>
      </c>
    </row>
    <row r="59" spans="10:11" x14ac:dyDescent="0.25">
      <c r="J59" s="5">
        <v>18</v>
      </c>
      <c r="K59" s="4">
        <v>173118</v>
      </c>
    </row>
    <row r="60" spans="10:11" x14ac:dyDescent="0.25">
      <c r="J60" s="5">
        <v>19</v>
      </c>
      <c r="K60" s="4">
        <v>185771</v>
      </c>
    </row>
    <row r="61" spans="10:11" x14ac:dyDescent="0.25">
      <c r="J61" s="5">
        <v>20</v>
      </c>
      <c r="K61" s="4">
        <v>186426</v>
      </c>
    </row>
    <row r="62" spans="10:11" x14ac:dyDescent="0.25">
      <c r="J62" s="5">
        <v>21</v>
      </c>
      <c r="K62" s="4">
        <v>155466</v>
      </c>
    </row>
    <row r="63" spans="10:11" x14ac:dyDescent="0.25">
      <c r="J63" s="5">
        <v>22</v>
      </c>
      <c r="K63" s="4">
        <v>125912</v>
      </c>
    </row>
    <row r="64" spans="10:11" x14ac:dyDescent="0.25">
      <c r="J64" s="5">
        <v>23</v>
      </c>
      <c r="K64" s="4">
        <v>168511</v>
      </c>
    </row>
    <row r="65" spans="10:11" x14ac:dyDescent="0.25">
      <c r="J65" s="5" t="s">
        <v>55</v>
      </c>
      <c r="K65" s="4">
        <v>3520984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84E68-14A4-421F-A57B-83A5FCFDA44B}">
  <dimension ref="A1"/>
  <sheetViews>
    <sheetView showGridLines="0" showRowColHeaders="0" tabSelected="1" zoomScale="90" zoomScaleNormal="90" workbookViewId="0">
      <selection activeCell="AD13" sqref="AD1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Props1.xml><?xml version="1.0" encoding="utf-8"?>
<ds:datastoreItem xmlns:ds="http://schemas.openxmlformats.org/officeDocument/2006/customXml" ds:itemID="{49FADD3A-7431-4BB4-8775-DA0D1D5B77D3}">
  <ds:schemaRefs/>
</ds:datastoreItem>
</file>

<file path=customXml/itemProps2.xml><?xml version="1.0" encoding="utf-8"?>
<ds:datastoreItem xmlns:ds="http://schemas.openxmlformats.org/officeDocument/2006/customXml" ds:itemID="{97ABFDB3-710B-4A62-B9EE-3105A6848762}">
  <ds:schemaRefs/>
</ds:datastoreItem>
</file>

<file path=customXml/itemProps3.xml><?xml version="1.0" encoding="utf-8"?>
<ds:datastoreItem xmlns:ds="http://schemas.openxmlformats.org/officeDocument/2006/customXml" ds:itemID="{0EECBAC6-F307-4C0B-B450-681B9CFB7C05}">
  <ds:schemaRefs/>
</ds:datastoreItem>
</file>

<file path=customXml/itemProps4.xml><?xml version="1.0" encoding="utf-8"?>
<ds:datastoreItem xmlns:ds="http://schemas.openxmlformats.org/officeDocument/2006/customXml" ds:itemID="{21259CFA-6B2E-4B62-9411-619866A92B68}">
  <ds:schemaRefs/>
</ds:datastoreItem>
</file>

<file path=customXml/itemProps5.xml><?xml version="1.0" encoding="utf-8"?>
<ds:datastoreItem xmlns:ds="http://schemas.openxmlformats.org/officeDocument/2006/customXml" ds:itemID="{8CA49EBF-1DE2-4EC3-BCAD-BCF63C6866CF}">
  <ds:schemaRefs/>
</ds:datastoreItem>
</file>

<file path=customXml/itemProps6.xml><?xml version="1.0" encoding="utf-8"?>
<ds:datastoreItem xmlns:ds="http://schemas.openxmlformats.org/officeDocument/2006/customXml" ds:itemID="{5CFF937F-1136-47D6-BE47-8AC26DCD5729}">
  <ds:schemaRefs/>
</ds:datastoreItem>
</file>

<file path=customXml/itemProps7.xml><?xml version="1.0" encoding="utf-8"?>
<ds:datastoreItem xmlns:ds="http://schemas.openxmlformats.org/officeDocument/2006/customXml" ds:itemID="{F2F48AFA-6BAB-4A75-B73F-9DC51B48C537}">
  <ds:schemaRefs/>
</ds:datastoreItem>
</file>

<file path=customXml/itemProps8.xml><?xml version="1.0" encoding="utf-8"?>
<ds:datastoreItem xmlns:ds="http://schemas.openxmlformats.org/officeDocument/2006/customXml" ds:itemID="{F6827092-79DF-4D99-90E1-EA3EEBF0C91F}">
  <ds:schemaRefs/>
</ds:datastoreItem>
</file>

<file path=customXml/itemProps9.xml><?xml version="1.0" encoding="utf-8"?>
<ds:datastoreItem xmlns:ds="http://schemas.openxmlformats.org/officeDocument/2006/customXml" ds:itemID="{71044410-BC11-401E-BD29-B23BD72A9957}">
  <ds:schemaRefs/>
</ds:datastoreItem>
</file>

<file path=customXml/itemProps10.xml><?xml version="1.0" encoding="utf-8"?>
<ds:datastoreItem xmlns:ds="http://schemas.openxmlformats.org/officeDocument/2006/customXml" ds:itemID="{A1EA6EC1-7CC7-439F-B23F-500E4745FD73}">
  <ds:schemaRefs/>
</ds:datastoreItem>
</file>

<file path=customXml/itemProps11.xml><?xml version="1.0" encoding="utf-8"?>
<ds:datastoreItem xmlns:ds="http://schemas.openxmlformats.org/officeDocument/2006/customXml" ds:itemID="{7EF8F29B-D7E1-4E94-A0C2-5542670EB114}">
  <ds:schemaRefs/>
</ds:datastoreItem>
</file>

<file path=customXml/itemProps12.xml><?xml version="1.0" encoding="utf-8"?>
<ds:datastoreItem xmlns:ds="http://schemas.openxmlformats.org/officeDocument/2006/customXml" ds:itemID="{AF6FD0E9-360E-4841-BF8E-F84292769FB1}">
  <ds:schemaRefs/>
</ds:datastoreItem>
</file>

<file path=customXml/itemProps13.xml><?xml version="1.0" encoding="utf-8"?>
<ds:datastoreItem xmlns:ds="http://schemas.openxmlformats.org/officeDocument/2006/customXml" ds:itemID="{EB4419B0-D2C3-45E6-A0A1-85B64E277EE9}">
  <ds:schemaRefs/>
</ds:datastoreItem>
</file>

<file path=customXml/itemProps14.xml><?xml version="1.0" encoding="utf-8"?>
<ds:datastoreItem xmlns:ds="http://schemas.openxmlformats.org/officeDocument/2006/customXml" ds:itemID="{CA3F1B8E-DA7C-42E9-BBF8-BB6F615ECE98}">
  <ds:schemaRefs>
    <ds:schemaRef ds:uri="http://schemas.microsoft.com/DataMashup"/>
  </ds:schemaRefs>
</ds:datastoreItem>
</file>

<file path=customXml/itemProps15.xml><?xml version="1.0" encoding="utf-8"?>
<ds:datastoreItem xmlns:ds="http://schemas.openxmlformats.org/officeDocument/2006/customXml" ds:itemID="{721681E1-A03C-499E-A2FF-F2EC89EA8D73}">
  <ds:schemaRefs/>
</ds:datastoreItem>
</file>

<file path=customXml/itemProps16.xml><?xml version="1.0" encoding="utf-8"?>
<ds:datastoreItem xmlns:ds="http://schemas.openxmlformats.org/officeDocument/2006/customXml" ds:itemID="{44631933-96C6-4850-B97F-4E76A4D1E889}">
  <ds:schemaRefs/>
</ds:datastoreItem>
</file>

<file path=customXml/itemProps17.xml><?xml version="1.0" encoding="utf-8"?>
<ds:datastoreItem xmlns:ds="http://schemas.openxmlformats.org/officeDocument/2006/customXml" ds:itemID="{83E7DE3C-569C-4242-94AC-B616C32D0D91}">
  <ds:schemaRefs/>
</ds:datastoreItem>
</file>

<file path=customXml/itemProps18.xml><?xml version="1.0" encoding="utf-8"?>
<ds:datastoreItem xmlns:ds="http://schemas.openxmlformats.org/officeDocument/2006/customXml" ds:itemID="{C9341910-3D62-4A17-B606-2E1AEC06F0D2}">
  <ds:schemaRefs/>
</ds:datastoreItem>
</file>

<file path=customXml/itemProps19.xml><?xml version="1.0" encoding="utf-8"?>
<ds:datastoreItem xmlns:ds="http://schemas.openxmlformats.org/officeDocument/2006/customXml" ds:itemID="{D7739970-57DD-43DC-A9E9-51F271B6E056}">
  <ds:schemaRefs/>
</ds:datastoreItem>
</file>

<file path=customXml/itemProps20.xml><?xml version="1.0" encoding="utf-8"?>
<ds:datastoreItem xmlns:ds="http://schemas.openxmlformats.org/officeDocument/2006/customXml" ds:itemID="{605CA592-E652-48E3-84B9-4C8D1ECE1818}">
  <ds:schemaRefs/>
</ds:datastoreItem>
</file>

<file path=customXml/itemProps21.xml><?xml version="1.0" encoding="utf-8"?>
<ds:datastoreItem xmlns:ds="http://schemas.openxmlformats.org/officeDocument/2006/customXml" ds:itemID="{7D7D085B-EDBE-4B94-A8A4-1B2683EB917B}">
  <ds:schemaRefs/>
</ds:datastoreItem>
</file>

<file path=customXml/itemProps22.xml><?xml version="1.0" encoding="utf-8"?>
<ds:datastoreItem xmlns:ds="http://schemas.openxmlformats.org/officeDocument/2006/customXml" ds:itemID="{29788C59-1E91-4FF9-82CC-66994750E35E}">
  <ds:schemaRefs/>
</ds:datastoreItem>
</file>

<file path=customXml/itemProps23.xml><?xml version="1.0" encoding="utf-8"?>
<ds:datastoreItem xmlns:ds="http://schemas.openxmlformats.org/officeDocument/2006/customXml" ds:itemID="{E28BCBEE-51E6-4AC2-8E1B-158BC40A65D2}">
  <ds:schemaRefs/>
</ds:datastoreItem>
</file>

<file path=customXml/itemProps24.xml><?xml version="1.0" encoding="utf-8"?>
<ds:datastoreItem xmlns:ds="http://schemas.openxmlformats.org/officeDocument/2006/customXml" ds:itemID="{CA5F0C71-D2A4-44D5-8083-8E368A376D8C}">
  <ds:schemaRefs/>
</ds:datastoreItem>
</file>

<file path=customXml/itemProps25.xml><?xml version="1.0" encoding="utf-8"?>
<ds:datastoreItem xmlns:ds="http://schemas.openxmlformats.org/officeDocument/2006/customXml" ds:itemID="{953BBC50-031B-45CF-8718-50DA6D7DCD66}">
  <ds:schemaRefs/>
</ds:datastoreItem>
</file>

<file path=customXml/itemProps26.xml><?xml version="1.0" encoding="utf-8"?>
<ds:datastoreItem xmlns:ds="http://schemas.openxmlformats.org/officeDocument/2006/customXml" ds:itemID="{CDB30110-F170-4105-87B2-AD076DC10E9C}">
  <ds:schemaRefs/>
</ds:datastoreItem>
</file>

<file path=customXml/itemProps27.xml><?xml version="1.0" encoding="utf-8"?>
<ds:datastoreItem xmlns:ds="http://schemas.openxmlformats.org/officeDocument/2006/customXml" ds:itemID="{52952270-39EA-49AF-BA06-B5CBACEA51AD}">
  <ds:schemaRefs/>
</ds:datastoreItem>
</file>

<file path=customXml/itemProps28.xml><?xml version="1.0" encoding="utf-8"?>
<ds:datastoreItem xmlns:ds="http://schemas.openxmlformats.org/officeDocument/2006/customXml" ds:itemID="{2ABCA1BB-351A-499B-A7D3-376773A1E860}">
  <ds:schemaRefs/>
</ds:datastoreItem>
</file>

<file path=customXml/itemProps29.xml><?xml version="1.0" encoding="utf-8"?>
<ds:datastoreItem xmlns:ds="http://schemas.openxmlformats.org/officeDocument/2006/customXml" ds:itemID="{2D5B06C6-678E-47E3-8E85-B7799B0BE133}">
  <ds:schemaRefs/>
</ds:datastoreItem>
</file>

<file path=customXml/itemProps30.xml><?xml version="1.0" encoding="utf-8"?>
<ds:datastoreItem xmlns:ds="http://schemas.openxmlformats.org/officeDocument/2006/customXml" ds:itemID="{3C999F66-6A40-423E-8210-865578D58DA8}">
  <ds:schemaRefs/>
</ds:datastoreItem>
</file>

<file path=customXml/itemProps31.xml><?xml version="1.0" encoding="utf-8"?>
<ds:datastoreItem xmlns:ds="http://schemas.openxmlformats.org/officeDocument/2006/customXml" ds:itemID="{0081651B-DB68-4349-BBFD-0D7B472D7198}">
  <ds:schemaRefs/>
</ds:datastoreItem>
</file>

<file path=customXml/itemProps32.xml><?xml version="1.0" encoding="utf-8"?>
<ds:datastoreItem xmlns:ds="http://schemas.openxmlformats.org/officeDocument/2006/customXml" ds:itemID="{2C80FEA2-25FD-4EC3-A6DB-66C17871EFE5}">
  <ds:schemaRefs/>
</ds:datastoreItem>
</file>

<file path=customXml/itemProps33.xml><?xml version="1.0" encoding="utf-8"?>
<ds:datastoreItem xmlns:ds="http://schemas.openxmlformats.org/officeDocument/2006/customXml" ds:itemID="{9A8DD90D-5B2B-4EC2-AAE7-57BD49C4277A}">
  <ds:schemaRefs/>
</ds:datastoreItem>
</file>

<file path=customXml/itemProps34.xml><?xml version="1.0" encoding="utf-8"?>
<ds:datastoreItem xmlns:ds="http://schemas.openxmlformats.org/officeDocument/2006/customXml" ds:itemID="{5CA6D502-7F65-417C-958E-E6BC003AB61D}">
  <ds:schemaRefs/>
</ds:datastoreItem>
</file>

<file path=customXml/itemProps35.xml><?xml version="1.0" encoding="utf-8"?>
<ds:datastoreItem xmlns:ds="http://schemas.openxmlformats.org/officeDocument/2006/customXml" ds:itemID="{300DE84A-91FA-4672-9996-E5856A2A3D8B}">
  <ds:schemaRefs/>
</ds:datastoreItem>
</file>

<file path=customXml/itemProps36.xml><?xml version="1.0" encoding="utf-8"?>
<ds:datastoreItem xmlns:ds="http://schemas.openxmlformats.org/officeDocument/2006/customXml" ds:itemID="{ADD3F208-9D08-4E0B-8551-3C0A6ED0736D}">
  <ds:schemaRefs/>
</ds:datastoreItem>
</file>

<file path=customXml/itemProps37.xml><?xml version="1.0" encoding="utf-8"?>
<ds:datastoreItem xmlns:ds="http://schemas.openxmlformats.org/officeDocument/2006/customXml" ds:itemID="{0D862D0D-5902-473C-ACE9-595F2DA1EFFC}">
  <ds:schemaRefs/>
</ds:datastoreItem>
</file>

<file path=customXml/itemProps38.xml><?xml version="1.0" encoding="utf-8"?>
<ds:datastoreItem xmlns:ds="http://schemas.openxmlformats.org/officeDocument/2006/customXml" ds:itemID="{2073E3A7-22C6-4C05-B374-4B71AC843F0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Uzoma Okonyia</dc:creator>
  <cp:lastModifiedBy>Uzoma Okonyia</cp:lastModifiedBy>
  <dcterms:created xsi:type="dcterms:W3CDTF">2025-03-15T15:38:36Z</dcterms:created>
  <dcterms:modified xsi:type="dcterms:W3CDTF">2025-03-17T15:44:33Z</dcterms:modified>
</cp:coreProperties>
</file>